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Key Statistics" sheetId="1" r:id="rId5"/>
    <sheet state="visible" name="2. Domestic Quarterly" sheetId="2" r:id="rId6"/>
    <sheet state="visible" name="3. Domestic Visitors by State" sheetId="3" r:id="rId7"/>
    <sheet state="visible" name="4. Tourists by State, 2024" sheetId="4" r:id="rId8"/>
    <sheet state="visible" name="5. Spending by Category" sheetId="5" r:id="rId9"/>
    <sheet state="visible" name="6. Transport &amp; Accom" sheetId="6" r:id="rId10"/>
    <sheet state="visible" name="7. Demographics" sheetId="7" r:id="rId11"/>
    <sheet state="visible" name="8. Trip Type &amp; Strata" sheetId="8" r:id="rId12"/>
    <sheet state="visible" name="9. Inbound by Country" sheetId="9" r:id="rId13"/>
    <sheet state="visible" name="10. Hotel Indicators" sheetId="10" r:id="rId14"/>
    <sheet state="visible" name="12. Inbound Spending" sheetId="11" r:id="rId15"/>
    <sheet state="visible" name="13. Outbound Spending" sheetId="12" r:id="rId16"/>
    <sheet state="visible" name="14. Tourism GDP &amp; GVA" sheetId="13" r:id="rId17"/>
    <sheet state="visible" name="15. Tourism Employment" sheetId="14" r:id="rId18"/>
  </sheets>
  <definedNames/>
  <calcPr/>
</workbook>
</file>

<file path=xl/sharedStrings.xml><?xml version="1.0" encoding="utf-8"?>
<sst xmlns="http://schemas.openxmlformats.org/spreadsheetml/2006/main" count="327" uniqueCount="212">
  <si>
    <t>Key Domestic Tourism Statistics, 2017–2024</t>
  </si>
  <si>
    <r>
      <rPr/>
      <t xml:space="preserve">Source: DOSM Table 1  | </t>
    </r>
    <r>
      <rPr>
        <color rgb="FF1155CC"/>
        <u/>
      </rPr>
      <t>https://newss.statistics.gov.my/newss-portalx/ep/epFreeDownloadContentSearch.seam?contentId=202580&amp;actionMethod=ep%2FepFreeDownloadContentSearch.xhtml%3AcontentAction.doDisplayContent&amp;cid=297332</t>
    </r>
  </si>
  <si>
    <t>Indicator</t>
  </si>
  <si>
    <t>Total Expenditure (RM million)</t>
  </si>
  <si>
    <t>Domestic Visitors ('000)</t>
  </si>
  <si>
    <t>Visited Households ('000)</t>
  </si>
  <si>
    <t>Total Visitors ('000)</t>
  </si>
  <si>
    <t>Total Trips ('000)</t>
  </si>
  <si>
    <t>Avg Length of Stay (nights)</t>
  </si>
  <si>
    <t>Avg Expenditure per Trip (RM)</t>
  </si>
  <si>
    <t>Annual Expenditure Change (%)</t>
  </si>
  <si>
    <t>Annual Visitor Change (%)</t>
  </si>
  <si>
    <t>This is a good summary sheet for dashboard KPI cards or sparklines in the visualisation.</t>
  </si>
  <si>
    <t>Quarterly Domestic Visitors &amp; Expenditure (2021–2025)</t>
  </si>
  <si>
    <r>
      <rPr/>
      <t xml:space="preserve">Source: DOSM Domestic Tourism Survey Q4 2025  |  </t>
    </r>
    <r>
      <rPr>
        <color rgb="FF1155CC"/>
        <u/>
      </rPr>
      <t>https://www.dosm.gov.my/portal-main/release-content/malaysias-domestic-tourism-survey-q42025</t>
    </r>
  </si>
  <si>
    <t>Year</t>
  </si>
  <si>
    <t>Quarter</t>
  </si>
  <si>
    <t>Period Label</t>
  </si>
  <si>
    <t>QoQ (%)</t>
  </si>
  <si>
    <t>YoY (%)</t>
  </si>
  <si>
    <t>Q1</t>
  </si>
  <si>
    <t>2021-Q1</t>
  </si>
  <si>
    <t>Q2</t>
  </si>
  <si>
    <t>2021-Q2</t>
  </si>
  <si>
    <t>Q3</t>
  </si>
  <si>
    <t>2021-Q3</t>
  </si>
  <si>
    <t>Q4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</si>
  <si>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</si>
  <si>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</si>
  <si>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</si>
  <si>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</si>
  <si>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</si>
  <si>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</si>
  <si>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</si>
  <si>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</si>
  <si>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</si>
  <si>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</si>
  <si>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</si>
  <si>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</si>
  <si>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</si>
  <si>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</si>
  <si>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</si>
  <si>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</si>
  <si>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</si>
  <si>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Domestic Visitors by State Visited, 2017–2024 ('000)</t>
  </si>
  <si>
    <r>
      <rPr/>
      <t xml:space="preserve">Source: DOSM Table 9  | </t>
    </r>
    <r>
      <rPr>
        <color rgb="FF1155CC"/>
        <u/>
      </rPr>
      <t>https://newss.statistics.gov.my/newss-portalx/ep/epFreeDownloadContentSearch.seam?contentId=202580&amp;actionMethod=ep%2FepFreeDownloadContentSearch.xhtml%3AcontentAction.doDisplayContent&amp;cid=297332</t>
    </r>
  </si>
  <si>
    <t>State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</si>
  <si>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</si>
  <si>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</si>
  <si>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</si>
  <si>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</si>
  <si>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</si>
  <si>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</si>
  <si>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</si>
  <si>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</si>
  <si>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</si>
  <si>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</si>
  <si>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</si>
  <si>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</si>
  <si>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</si>
  <si>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</si>
  <si>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</si>
  <si>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</si>
  <si>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Number of Tourists by State Visited, 2024 ('000)</t>
  </si>
  <si>
    <r>
      <rPr/>
      <t xml:space="preserve">Source: DOSM Table 9  | </t>
    </r>
    <r>
      <rPr>
        <color rgb="FF1155CC"/>
        <u/>
      </rPr>
      <t>https://newss.statistics.gov.my/newss-portalx/ep/epFreeDownloadContentSearch.seam?contentId=202580&amp;actionMethod=ep%2FepFreeDownloadContentSearch.xhtml%3AcontentAction.doDisplayContent&amp;cid=297332</t>
    </r>
  </si>
  <si>
    <t>State of Origin / State Visited</t>
  </si>
  <si>
    <t>Malaysia</t>
  </si>
  <si>
    <t>Domestic Visitor Expenditure by Component, 2023 &amp; 2024</t>
  </si>
  <si>
    <r>
      <rPr/>
      <t xml:space="preserve">Source: DOSM Table 6  |  </t>
    </r>
    <r>
      <rPr>
        <color rgb="FF1155CC"/>
        <u/>
      </rPr>
      <t>https://newss.statistics.gov.my/newss-portalx/ep/epFreeDownloadContentSearch.seam?contentId=202580&amp;actionMethod=ep%2FepFreeDownloadContentSearch.xhtml%3AcontentAction.doDisplayContent&amp;cid=297332</t>
    </r>
  </si>
  <si>
    <t>Component</t>
  </si>
  <si>
    <t>2023 (RM '000)</t>
  </si>
  <si>
    <t>2024 (RM '000)</t>
  </si>
  <si>
    <t>2023 Share (%)</t>
  </si>
  <si>
    <t>2024 Share (%)</t>
  </si>
  <si>
    <t>Shopping</t>
  </si>
  <si>
    <t>Purchase of Automotive Fuel</t>
  </si>
  <si>
    <t>Transport</t>
  </si>
  <si>
    <t>Food &amp; Beverage</t>
  </si>
  <si>
    <t>Accommodation</t>
  </si>
  <si>
    <t>Pre-trip / Package / Tickets</t>
  </si>
  <si>
    <t>Other Activities</t>
  </si>
  <si>
    <t>Expenditure by Visited Households</t>
  </si>
  <si>
    <t>TOTAL</t>
  </si>
  <si>
    <t>Mode of Transport (% of Visitors), 2023 &amp; 2024</t>
  </si>
  <si>
    <r>
      <rPr/>
      <t xml:space="preserve">Source: DOSM Table 11  |  </t>
    </r>
    <r>
      <rPr>
        <color rgb="FF1155CC"/>
        <u/>
      </rPr>
      <t>https://newss.statistics.gov.my/newss-portalx/ep/epFreeDownloadContentSearch.seam?contentId=202580&amp;actionMethod=ep%2FepFreeDownloadContentSearch.xhtml%3AcontentAction.doDisplayContent&amp;cid=297332</t>
    </r>
  </si>
  <si>
    <t>Mode of Transport</t>
  </si>
  <si>
    <t>2023 All Visitors (%)</t>
  </si>
  <si>
    <t>2023 Excursionists (%)</t>
  </si>
  <si>
    <t>2023 Tourists (%)</t>
  </si>
  <si>
    <t>2024 All Visitors (%)</t>
  </si>
  <si>
    <t>2024 Excursionists (%)</t>
  </si>
  <si>
    <t>2024 Tourists (%)</t>
  </si>
  <si>
    <t>Air</t>
  </si>
  <si>
    <t>Water</t>
  </si>
  <si>
    <t>Land (Total)</t>
  </si>
  <si>
    <t>– Private Vehicle</t>
  </si>
  <si>
    <t>– Taxi</t>
  </si>
  <si>
    <t>– Bus</t>
  </si>
  <si>
    <t>– Train</t>
  </si>
  <si>
    <t>Type of Accommodation (% of Tourists), 2023 &amp; 2024</t>
  </si>
  <si>
    <t>Accommodation Type</t>
  </si>
  <si>
    <t>2023 (%)</t>
  </si>
  <si>
    <t>2024 (%)</t>
  </si>
  <si>
    <t>Relatives' / Friends' House</t>
  </si>
  <si>
    <t>Hotel</t>
  </si>
  <si>
    <t>Chalet</t>
  </si>
  <si>
    <t>Apartment</t>
  </si>
  <si>
    <t>Homestay / Vacation Home</t>
  </si>
  <si>
    <t>Rest House</t>
  </si>
  <si>
    <t>Good for pie or stacked bar chart. Note majority still stay with relatives/friends.</t>
  </si>
  <si>
    <t>Profile of Domestic Visitors by Age Group, 2023 &amp; 2024 (%)</t>
  </si>
  <si>
    <r>
      <rPr/>
      <t xml:space="preserve">Source: DOSM Table 13  |  </t>
    </r>
    <r>
      <rPr>
        <color rgb="FF1155CC"/>
        <u/>
      </rPr>
      <t>https://newss.statistics.gov.my/newss-portalx/ep/epFreeDownloadContentSearch.seam?contentId=202580&amp;actionMethod=ep%2FepFreeDownloadContentSearch.xhtml%3AcontentAction.doDisplayContent&amp;cid=297332</t>
    </r>
  </si>
  <si>
    <t>Sex</t>
  </si>
  <si>
    <t>Age Group</t>
  </si>
  <si>
    <t>Total</t>
  </si>
  <si>
    <t>15 – 24</t>
  </si>
  <si>
    <t>25 – 39</t>
  </si>
  <si>
    <t>40 – 54</t>
  </si>
  <si>
    <t>≥ 55</t>
  </si>
  <si>
    <t>Male</t>
  </si>
  <si>
    <t>Female</t>
  </si>
  <si>
    <t>By Ethnic Group (%)</t>
  </si>
  <si>
    <t>Ethnic Group</t>
  </si>
  <si>
    <t>Bumiputera</t>
  </si>
  <si>
    <t>Chinese</t>
  </si>
  <si>
    <t>Indian</t>
  </si>
  <si>
    <t>Others</t>
  </si>
  <si>
    <t>By Education Level (%)</t>
  </si>
  <si>
    <t>Education Level</t>
  </si>
  <si>
    <t>Tertiary</t>
  </si>
  <si>
    <t>Secondary</t>
  </si>
  <si>
    <t>Primary</t>
  </si>
  <si>
    <t>No Formal Education</t>
  </si>
  <si>
    <t>Good for grouped bar or radar chart showing visitor profile trends.</t>
  </si>
  <si>
    <t>Domestic Tourism Trips by Type &amp; Strata, 2023 &amp; 2024 ('000)</t>
  </si>
  <si>
    <r>
      <rPr/>
      <t xml:space="preserve">Source: DOSM Tables 4 &amp; 5  |  </t>
    </r>
    <r>
      <rPr>
        <color rgb="FF1155CC"/>
        <u/>
      </rPr>
      <t>https://newss.statistics.gov.my/newss-portalx/ep/epFreeDownloadContentSearch.seam?contentId=202580&amp;actionMethod=ep%2FepFreeDownloadContentSearch.xhtml%3AcontentAction.doDisplayContent&amp;cid=297332</t>
    </r>
  </si>
  <si>
    <t>Trip Category</t>
  </si>
  <si>
    <t>2023 Total</t>
  </si>
  <si>
    <t>2023 Urban</t>
  </si>
  <si>
    <t>2023 Rural</t>
  </si>
  <si>
    <t>2024 Total</t>
  </si>
  <si>
    <t>2024 Urban</t>
  </si>
  <si>
    <t>2024 Rural</t>
  </si>
  <si>
    <t>Total Trips</t>
  </si>
  <si>
    <t>Individual – Total</t>
  </si>
  <si>
    <t>Individual – Same Day</t>
  </si>
  <si>
    <t>Individual – Overnight</t>
  </si>
  <si>
    <t>With Family – Total</t>
  </si>
  <si>
    <t>With Family – Same Day</t>
  </si>
  <si>
    <t>With Family – Overnight</t>
  </si>
  <si>
    <t>Average Length of Stay by Strata (nights), 2023 &amp; 2024</t>
  </si>
  <si>
    <t>Metric</t>
  </si>
  <si>
    <t>Overnight Trips ('000)</t>
  </si>
  <si>
    <t>No. of Nights ('000)</t>
  </si>
  <si>
    <t>International Visitor Arrivals to Malaysia by Country, 2019–2024</t>
  </si>
  <si>
    <r>
      <rPr/>
      <t xml:space="preserve">Source: Lembaga Penggalakan Pelancongan Malaysia (Tourism Malaysia)  | </t>
    </r>
    <r>
      <rPr>
        <color rgb="FF1155CC"/>
        <u/>
      </rPr>
      <t>https://newss.statistics.gov.my/newss-portalx/ep/epFreeDownloadContentSearch.seam?contentId=207012&amp;actionMethod=ep%2FepFreeDownloadContentSearch.xhtml%3AcontentAction.doDisplayContent&amp;cid=298213</t>
    </r>
  </si>
  <si>
    <t>Country / Region</t>
  </si>
  <si>
    <t>Singapore</t>
  </si>
  <si>
    <t>Indonesia</t>
  </si>
  <si>
    <t>China</t>
  </si>
  <si>
    <t>Thailand</t>
  </si>
  <si>
    <t>Brunei Darussalam</t>
  </si>
  <si>
    <t>India</t>
  </si>
  <si>
    <t>Philippines</t>
  </si>
  <si>
    <t>South Korea</t>
  </si>
  <si>
    <t>Australia</t>
  </si>
  <si>
    <t>Chinese Taipei</t>
  </si>
  <si>
    <t>United Kingdom</t>
  </si>
  <si>
    <t>Japan</t>
  </si>
  <si>
    <t>Vietnam</t>
  </si>
  <si>
    <t>United States</t>
  </si>
  <si>
    <t>France</t>
  </si>
  <si>
    <t>Other Countries</t>
  </si>
  <si>
    <t>Hotel &amp; Accommodation Indicators, 2019–2024</t>
  </si>
  <si>
    <r>
      <rPr/>
      <t xml:space="preserve">Source: Lembaga Penggalakan Pelancongan Malaysia (Tourism Malaysia)  | </t>
    </r>
    <r>
      <rPr>
        <color rgb="FF1155CC"/>
        <u/>
      </rPr>
      <t>https://newss.statistics.gov.my/newss-portalx/ep/epFreeDownloadContentSearch.seam?contentId=207012&amp;actionMethod=ep%2FepFreeDownloadContentSearch.xhtml%3AcontentAction.doDisplayContent&amp;cid=298213</t>
    </r>
  </si>
  <si>
    <t>Number of Hotels</t>
  </si>
  <si>
    <t>Number of Rooms</t>
  </si>
  <si>
    <t>Total Guests</t>
  </si>
  <si>
    <t>Domestic Guests</t>
  </si>
  <si>
    <t>International Guests</t>
  </si>
  <si>
    <t>Avg Occupancy Rate (%)</t>
  </si>
  <si>
    <t>Inbound Tourism Expenditure by Product (Foreign Visitors), 2016–2024 (RM million)</t>
  </si>
  <si>
    <r>
      <rPr/>
      <t xml:space="preserve">Source: Jabatan Perangkaan Malaysia  | </t>
    </r>
    <r>
      <rPr>
        <color rgb="FF1155CC"/>
        <u/>
      </rPr>
      <t>https://newss.statistics.gov.my/newss-portalx/ep/epFreeDownloadContentSearch.seam?contentId=207012&amp;actionMethod=ep%2FepFreeDownloadContentSearch.xhtml%3AcontentAction.doDisplayContent&amp;cid=298213</t>
    </r>
  </si>
  <si>
    <t>Product</t>
  </si>
  <si>
    <t>Accommodation Services</t>
  </si>
  <si>
    <t>Food &amp; Beverage Services</t>
  </si>
  <si>
    <t>Passenger Transport</t>
  </si>
  <si>
    <t>Travel Agencies &amp; Reservation</t>
  </si>
  <si>
    <t>Cultural, Sports &amp; Recreation</t>
  </si>
  <si>
    <t>Retail Sale of Automotive Fuel</t>
  </si>
  <si>
    <t>Country-specific Tourism Goods</t>
  </si>
  <si>
    <t>Country-specific Tourism Services</t>
  </si>
  <si>
    <t>Foreign visitor spending in Malaysia. Compare with Sheet 4 (domestic spending) for inbound vs domestic tourism revenue story.</t>
  </si>
  <si>
    <t>Outbound Tourism Expenditure (Malaysians Travelling Abroad), 2016–2024 (RM million)</t>
  </si>
  <si>
    <r>
      <rPr/>
      <t xml:space="preserve">Source: Jabatan Perangkaan Malaysia  | </t>
    </r>
    <r>
      <rPr>
        <color rgb="FF1155CC"/>
        <u/>
      </rPr>
      <t>https://newss.statistics.gov.my/newss-portalx/ep/epFreeDownloadContentSearch.seam?contentId=207012&amp;actionMethod=ep%2FepFreeDownloadContentSearch.xhtml%3AcontentAction.doDisplayContent&amp;cid=298213</t>
    </r>
  </si>
  <si>
    <t>Malaysians' overseas travel spending. Good for comparing inbound vs outbound tourism balance — shows whether Malaysia earns or loses tourism revenue.</t>
  </si>
  <si>
    <t>Tourism Industry Gross Value Added by Sector, 2016–2024 (RM million)</t>
  </si>
  <si>
    <r>
      <rPr/>
      <t xml:space="preserve">Source: Jabatan Perangkaan Malaysia  |  </t>
    </r>
    <r>
      <rPr>
        <color rgb="FF1155CC"/>
        <u/>
      </rPr>
      <t>https://newss.statistics.gov.my/newss-portalx/ep/epFreeDownloadContentSearch.seam?contentId=207012&amp;actionMethod=ep%2FepFreeDownloadContentSearch.xhtml%3AcontentAction.doDisplayContent&amp;cid=298213</t>
    </r>
  </si>
  <si>
    <t>Sector</t>
  </si>
  <si>
    <t>2024P</t>
  </si>
  <si>
    <t>Retail Trade</t>
  </si>
  <si>
    <t>TOTAL GVA of Tourism Industries</t>
  </si>
  <si>
    <t>Tourism Direct GDP Summary, 2018–2024 (RM million)</t>
  </si>
  <si>
    <t>Total GVA of Tourism Industries</t>
  </si>
  <si>
    <t>Tourism Direct GVA</t>
  </si>
  <si>
    <t>Tourism Direct GDP</t>
  </si>
  <si>
    <t>P = Preliminary. Tourism Direct GDP shows tourism's direct contribution to Malaysia's economy. Dropped sharply 2020-2021 due to COVID-19.</t>
  </si>
  <si>
    <t>GVA = Gross Value Added</t>
  </si>
  <si>
    <t>Employment in Tourism Industry by Sector, 2016–2024 ('000 persons)</t>
  </si>
  <si>
    <r>
      <rPr/>
      <t xml:space="preserve">Source: Jabatan Perangkaan Malaysia  |  </t>
    </r>
    <r>
      <rPr>
        <color rgb="FF1155CC"/>
        <u/>
      </rPr>
      <t>https://newss.statistics.gov.my/newss-portalx/ep/epFreeDownloadContentSearch.seam?contentId=207012&amp;actionMethod=ep%2FepFreeDownloadContentSearch.xhtml%3AcontentAction.doDisplayContent&amp;cid=298213</t>
    </r>
  </si>
  <si>
    <t xml:space="preserve">Source: DOSM Tourism Statistics 2024 </t>
  </si>
  <si>
    <t>Values in thousands of persons. Shows tourism's role as a major employer. Good for bar/area chart showing sector-wise employment trends.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</si>
</sst>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sz val="11.0"/>
      <color theme="1"/>
      <name val="&quot;Century Gothic&quot;"/>
    </font>
    <font>
      <b/>
      <sz val="11.0"/>
      <color theme="1"/>
      <name val="&quot;Century Gothic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0" xfId="0" applyFont="1"/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wss.statistics.gov.my/newss-portalx/ep/epFreeDownloadContentSearch.seam?contentId=202580&amp;actionMethod=ep%2FepFreeDownloadContentSearch.xhtml%3AcontentAction.doDisplayContent&amp;cid=29733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osm.gov.my/portal-main/release-content/malaysias-domestic-tourism-survey-q42025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newss.statistics.gov.my/newss-portalx/ep/epFreeDownloadContentSearch.seam?contentId=202580&amp;actionMethod=ep%2FepFreeDownloadContentSearch.xhtml%3AcontentAction.doDisplayContent&amp;cid=297332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newss.statistics.gov.my/newss-portalx/ep/epFreeDownloadContentSearch.seam?contentId=202580&amp;actionMethod=ep%2FepFreeDownloadContentSearch.xhtml%3AcontentAction.doDisplayContent&amp;cid=297332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newss.statistics.gov.my/newss-portalx/ep/epFreeDownloadContentSearch.seam?contentId=202580&amp;actionMethod=ep%2FepFreeDownloadContentSearch.xhtml%3AcontentAction.doDisplayContent&amp;cid=297332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newss.statistics.gov.my/newss-portalx/ep/epFreeDownloadContentSearch.seam?contentId=202580&amp;actionMethod=ep%2FepFreeDownloadContentSearch.xhtml%3AcontentAction.doDisplayContent&amp;cid=297332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newss.statistics.gov.my/newss-portalx/ep/epFreeDownloadContentSearch.seam?contentId=202580&amp;actionMethod=ep%2FepFreeDownloadContentSearch.xhtml%3AcontentAction.doDisplayContent&amp;cid=297332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newss.statistics.gov.my/newss-portalx/ep/epFreeDownloadContentSearch.seam?contentId=202580&amp;actionMethod=ep%2FepFreeDownloadContentSearch.xhtml%3AcontentAction.doDisplayContent&amp;cid=297332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newss.statistics.gov.my/newss-portalx/ep/epFreeDownloadContentSearch.seam?contentId=207012&amp;actionMethod=ep%2FepFreeDownloadContentSearch.xhtml%3AcontentAction.doDisplayContent&amp;cid=298213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newss.statistics.gov.my/newss-portalx/ep/epFreeDownloadContentSearch.seam?contentId=207012&amp;actionMethod=ep%2FepFreeDownloadContentSearch.xhtml%3AcontentAction.doDisplayContent&amp;cid=298213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newss.statistics.gov.my/newss-portalx/ep/epFreeDownloadContentSearch.seam?contentId=207012&amp;actionMethod=ep%2FepFreeDownloadContentSearch.xhtml%3AcontentAction.doDisplayContent&amp;cid=298213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newss.statistics.gov.my/newss-portalx/ep/epFreeDownloadContentSearch.seam?contentId=207012&amp;actionMethod=ep%2FepFreeDownloadContentSearch.xhtml%3AcontentAction.doDisplayContent&amp;cid=298213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newss.statistics.gov.my/newss-portalx/ep/epFreeDownloadContentSearch.seam?contentId=207012&amp;actionMethod=ep%2FepFreeDownloadContentSearch.xhtml%3AcontentAction.doDisplayContent&amp;cid=298213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newss.statistics.gov.my/newss-portalx/ep/epFreeDownloadContentSearch.seam?contentId=207012&amp;actionMethod=ep%2FepFreeDownloadContentSearch.xhtml%3AcontentAction.doDisplayContent&amp;cid=298213" TargetMode="Externa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>
        <v>2017.0</v>
      </c>
      <c r="C4" s="3">
        <v>2018.0</v>
      </c>
      <c r="D4" s="3">
        <v>2019.0</v>
      </c>
      <c r="E4" s="3">
        <v>2020.0</v>
      </c>
      <c r="F4" s="3">
        <v>2021.0</v>
      </c>
      <c r="G4" s="3">
        <v>2022.0</v>
      </c>
      <c r="H4" s="3">
        <v>2023.0</v>
      </c>
      <c r="I4" s="3">
        <v>2024.0</v>
      </c>
    </row>
    <row r="5">
      <c r="A5" s="3" t="s">
        <v>3</v>
      </c>
      <c r="B5" s="3">
        <v>83103.0</v>
      </c>
      <c r="C5" s="3">
        <v>92561.0</v>
      </c>
      <c r="D5" s="3">
        <v>103184.0</v>
      </c>
      <c r="E5" s="3">
        <v>40424.0</v>
      </c>
      <c r="F5" s="3">
        <v>18410.0</v>
      </c>
      <c r="G5" s="3">
        <v>64080.0</v>
      </c>
      <c r="H5" s="3">
        <v>84932.0</v>
      </c>
      <c r="I5" s="3">
        <v>106746.0</v>
      </c>
    </row>
    <row r="6">
      <c r="A6" s="1" t="s">
        <v>4</v>
      </c>
      <c r="B6" s="1">
        <v>73662.0</v>
      </c>
      <c r="C6" s="1">
        <v>82741.0</v>
      </c>
      <c r="D6" s="1">
        <v>92638.0</v>
      </c>
      <c r="E6" s="1">
        <v>38635.0</v>
      </c>
      <c r="F6" s="1">
        <v>17451.0</v>
      </c>
      <c r="G6" s="1">
        <v>59217.0</v>
      </c>
      <c r="H6" s="1">
        <v>78676.0</v>
      </c>
      <c r="I6" s="1">
        <v>98446.0</v>
      </c>
    </row>
    <row r="7">
      <c r="A7" s="1" t="s">
        <v>5</v>
      </c>
      <c r="B7" s="1">
        <v>9440.0</v>
      </c>
      <c r="C7" s="1">
        <v>9820.0</v>
      </c>
      <c r="D7" s="1">
        <v>10546.0</v>
      </c>
      <c r="E7" s="1">
        <v>1790.0</v>
      </c>
      <c r="F7" s="1">
        <v>959.0</v>
      </c>
      <c r="G7" s="1">
        <v>4863.0</v>
      </c>
      <c r="H7" s="1">
        <v>6256.0</v>
      </c>
      <c r="I7" s="1">
        <v>8300.0</v>
      </c>
    </row>
    <row r="8">
      <c r="A8" s="3" t="s">
        <v>6</v>
      </c>
      <c r="B8" s="3">
        <v>205408.0</v>
      </c>
      <c r="C8" s="3">
        <v>221272.0</v>
      </c>
      <c r="D8" s="3">
        <v>239121.0</v>
      </c>
      <c r="E8" s="3">
        <v>131660.0</v>
      </c>
      <c r="F8" s="3">
        <v>65976.0</v>
      </c>
      <c r="G8" s="3">
        <v>171603.0</v>
      </c>
      <c r="H8" s="3">
        <v>213744.0</v>
      </c>
      <c r="I8" s="3">
        <v>260126.0</v>
      </c>
    </row>
    <row r="9">
      <c r="A9" s="1" t="s">
        <v>7</v>
      </c>
      <c r="B9" s="1">
        <v>276147.0</v>
      </c>
      <c r="C9" s="1">
        <v>302415.0</v>
      </c>
      <c r="D9" s="1">
        <v>332378.0</v>
      </c>
      <c r="E9" s="1">
        <v>146990.0</v>
      </c>
      <c r="F9" s="1">
        <v>72399.0</v>
      </c>
      <c r="G9" s="1">
        <v>207785.0</v>
      </c>
      <c r="H9" s="1">
        <v>241474.0</v>
      </c>
      <c r="I9" s="1">
        <v>297853.0</v>
      </c>
    </row>
    <row r="10">
      <c r="A10" s="1" t="s">
        <v>8</v>
      </c>
      <c r="B10" s="1">
        <v>2.35</v>
      </c>
      <c r="C10" s="1">
        <v>2.44</v>
      </c>
      <c r="D10" s="1">
        <v>2.52</v>
      </c>
      <c r="E10" s="1">
        <v>1.93</v>
      </c>
      <c r="F10" s="1">
        <v>2.19</v>
      </c>
      <c r="G10" s="1">
        <v>2.55</v>
      </c>
      <c r="H10" s="1">
        <v>2.45</v>
      </c>
      <c r="I10" s="1">
        <v>2.49</v>
      </c>
    </row>
    <row r="11">
      <c r="A11" s="1" t="s">
        <v>9</v>
      </c>
      <c r="B11" s="1">
        <v>300.94</v>
      </c>
      <c r="C11" s="1">
        <v>306.0</v>
      </c>
      <c r="D11" s="1">
        <v>310.0</v>
      </c>
      <c r="E11" s="1">
        <v>275.0</v>
      </c>
      <c r="F11" s="1">
        <v>254.0</v>
      </c>
      <c r="G11" s="1">
        <v>308.0</v>
      </c>
      <c r="H11" s="1">
        <v>352.0</v>
      </c>
      <c r="I11" s="1">
        <v>358.0</v>
      </c>
    </row>
    <row r="12">
      <c r="A12" s="1" t="s">
        <v>10</v>
      </c>
      <c r="B12" s="1">
        <v>11.1</v>
      </c>
      <c r="C12" s="1">
        <v>11.4</v>
      </c>
      <c r="D12" s="1">
        <v>11.5</v>
      </c>
      <c r="E12" s="1">
        <v>-60.8</v>
      </c>
      <c r="F12" s="1">
        <v>-54.5</v>
      </c>
      <c r="G12" s="1">
        <v>248.1</v>
      </c>
      <c r="H12" s="1">
        <v>32.5</v>
      </c>
      <c r="I12" s="1">
        <v>25.7</v>
      </c>
    </row>
    <row r="13">
      <c r="A13" s="1" t="s">
        <v>11</v>
      </c>
      <c r="B13" s="1">
        <v>8.5</v>
      </c>
      <c r="C13" s="1">
        <v>7.7</v>
      </c>
      <c r="D13" s="1">
        <v>8.1</v>
      </c>
      <c r="E13" s="1">
        <v>-44.9</v>
      </c>
      <c r="F13" s="1">
        <v>-49.9</v>
      </c>
      <c r="G13" s="1">
        <v>160.1</v>
      </c>
      <c r="H13" s="1">
        <v>24.6</v>
      </c>
      <c r="I13" s="1">
        <v>21.7</v>
      </c>
    </row>
    <row r="15">
      <c r="A15" s="1" t="s">
        <v>12</v>
      </c>
    </row>
  </sheetData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13"/>
    <col customWidth="1" min="7" max="7" width="25.5"/>
  </cols>
  <sheetData>
    <row r="1">
      <c r="A1" s="1" t="s">
        <v>13</v>
      </c>
    </row>
    <row r="2">
      <c r="A2" s="2" t="s">
        <v>14</v>
      </c>
    </row>
    <row r="4">
      <c r="A4" s="3" t="s">
        <v>15</v>
      </c>
      <c r="B4" s="3" t="s">
        <v>16</v>
      </c>
      <c r="C4" s="3" t="s">
        <v>17</v>
      </c>
      <c r="D4" s="3" t="s">
        <v>4</v>
      </c>
      <c r="E4" s="3" t="s">
        <v>18</v>
      </c>
      <c r="F4" s="3" t="s">
        <v>19</v>
      </c>
      <c r="G4" s="3" t="s">
        <v>3</v>
      </c>
      <c r="H4" s="3" t="s">
        <v>18</v>
      </c>
      <c r="I4" s="3" t="s">
        <v>19</v>
      </c>
    </row>
    <row r="5">
      <c r="A5" s="1">
        <v>2021.0</v>
      </c>
      <c r="B5" s="1" t="s">
        <v>20</v>
      </c>
      <c r="C5" s="1" t="s">
        <v>21</v>
      </c>
      <c r="D5" s="4">
        <v>14154.0</v>
      </c>
      <c r="E5" s="1">
        <v>-57.2</v>
      </c>
      <c r="F5" s="1">
        <v>-69.6</v>
      </c>
      <c r="G5" s="4">
        <v>3969.0</v>
      </c>
      <c r="H5" s="1">
        <v>-54.2</v>
      </c>
      <c r="I5" s="1">
        <v>-73.3</v>
      </c>
    </row>
    <row r="6">
      <c r="A6" s="1">
        <v>2021.0</v>
      </c>
      <c r="B6" s="1" t="s">
        <v>22</v>
      </c>
      <c r="C6" s="1" t="s">
        <v>23</v>
      </c>
      <c r="D6" s="4">
        <v>11082.0</v>
      </c>
      <c r="E6" s="1">
        <v>-21.7</v>
      </c>
      <c r="F6" s="1">
        <v>-35.6</v>
      </c>
      <c r="G6" s="4">
        <v>2161.0</v>
      </c>
      <c r="H6" s="1">
        <v>-45.6</v>
      </c>
      <c r="I6" s="1">
        <v>-53.9</v>
      </c>
    </row>
    <row r="7">
      <c r="A7" s="1">
        <v>2021.0</v>
      </c>
      <c r="B7" s="1" t="s">
        <v>24</v>
      </c>
      <c r="C7" s="1" t="s">
        <v>25</v>
      </c>
      <c r="D7" s="4">
        <v>13470.0</v>
      </c>
      <c r="E7" s="1">
        <v>21.5</v>
      </c>
      <c r="F7" s="1">
        <v>-61.3</v>
      </c>
      <c r="G7" s="4">
        <v>3206.0</v>
      </c>
      <c r="H7" s="1">
        <v>48.4</v>
      </c>
      <c r="I7" s="1">
        <v>-73.7</v>
      </c>
    </row>
    <row r="8">
      <c r="A8" s="1">
        <v>2021.0</v>
      </c>
      <c r="B8" s="1" t="s">
        <v>26</v>
      </c>
      <c r="C8" s="1" t="s">
        <v>27</v>
      </c>
      <c r="D8" s="4">
        <v>27270.0</v>
      </c>
      <c r="E8" s="1">
        <v>102.4</v>
      </c>
      <c r="F8" s="1">
        <v>-17.5</v>
      </c>
      <c r="G8" s="4">
        <v>9074.0</v>
      </c>
      <c r="H8" s="1">
        <v>183.0</v>
      </c>
      <c r="I8" s="1">
        <v>4.7</v>
      </c>
    </row>
    <row r="9">
      <c r="A9" s="1">
        <v>2022.0</v>
      </c>
      <c r="B9" s="1" t="s">
        <v>20</v>
      </c>
      <c r="C9" s="1" t="s">
        <v>28</v>
      </c>
      <c r="D9" s="4">
        <v>36363.0</v>
      </c>
      <c r="E9" s="1">
        <v>33.3</v>
      </c>
      <c r="F9" s="1">
        <v>156.9</v>
      </c>
      <c r="G9" s="4">
        <v>13065.0</v>
      </c>
      <c r="H9" s="1">
        <v>44.0</v>
      </c>
      <c r="I9" s="1">
        <v>229.2</v>
      </c>
    </row>
    <row r="10">
      <c r="A10" s="1">
        <v>2022.0</v>
      </c>
      <c r="B10" s="1" t="s">
        <v>22</v>
      </c>
      <c r="C10" s="1" t="s">
        <v>29</v>
      </c>
      <c r="D10" s="4">
        <v>45468.0</v>
      </c>
      <c r="E10" s="1">
        <v>25.0</v>
      </c>
      <c r="F10" s="1">
        <v>310.3</v>
      </c>
      <c r="G10" s="4">
        <v>17653.0</v>
      </c>
      <c r="H10" s="1">
        <v>35.1</v>
      </c>
      <c r="I10" s="1">
        <v>716.9</v>
      </c>
    </row>
    <row r="11">
      <c r="A11" s="1">
        <v>2022.0</v>
      </c>
      <c r="B11" s="1" t="s">
        <v>24</v>
      </c>
      <c r="C11" s="1" t="s">
        <v>30</v>
      </c>
      <c r="D11" s="4">
        <v>43000.0</v>
      </c>
      <c r="E11" s="1">
        <v>-5.4</v>
      </c>
      <c r="F11" s="1">
        <v>219.2</v>
      </c>
      <c r="G11" s="4">
        <v>14996.0</v>
      </c>
      <c r="H11" s="1">
        <v>-15.1</v>
      </c>
      <c r="I11" s="1">
        <v>367.7</v>
      </c>
    </row>
    <row r="12">
      <c r="A12" s="1">
        <v>2022.0</v>
      </c>
      <c r="B12" s="1" t="s">
        <v>26</v>
      </c>
      <c r="C12" s="1" t="s">
        <v>31</v>
      </c>
      <c r="D12" s="4">
        <v>46772.0</v>
      </c>
      <c r="E12" s="1">
        <v>8.8</v>
      </c>
      <c r="F12" s="1">
        <v>71.5</v>
      </c>
      <c r="G12" s="4">
        <v>18367.0</v>
      </c>
      <c r="H12" s="1">
        <v>22.5</v>
      </c>
      <c r="I12" s="1">
        <v>102.4</v>
      </c>
    </row>
    <row r="13">
      <c r="A13" s="1">
        <v>2023.0</v>
      </c>
      <c r="B13" s="1" t="s">
        <v>20</v>
      </c>
      <c r="C13" s="1" t="s">
        <v>32</v>
      </c>
      <c r="D13" s="4">
        <v>49262.0</v>
      </c>
      <c r="E13" s="1">
        <v>5.3</v>
      </c>
      <c r="F13" s="1">
        <v>35.5</v>
      </c>
      <c r="G13" s="4">
        <v>19206.0</v>
      </c>
      <c r="H13" s="1">
        <v>4.6</v>
      </c>
      <c r="I13" s="1">
        <v>47.0</v>
      </c>
    </row>
    <row r="14">
      <c r="A14" s="1">
        <v>2023.0</v>
      </c>
      <c r="B14" s="1" t="s">
        <v>22</v>
      </c>
      <c r="C14" s="1" t="s">
        <v>33</v>
      </c>
      <c r="D14" s="4">
        <v>55284.0</v>
      </c>
      <c r="E14" s="1">
        <v>12.2</v>
      </c>
      <c r="F14" s="1">
        <v>21.6</v>
      </c>
      <c r="G14" s="4">
        <v>21878.0</v>
      </c>
      <c r="H14" s="1">
        <v>13.9</v>
      </c>
      <c r="I14" s="1">
        <v>23.9</v>
      </c>
    </row>
    <row r="15">
      <c r="A15" s="1">
        <v>2023.0</v>
      </c>
      <c r="B15" s="1" t="s">
        <v>24</v>
      </c>
      <c r="C15" s="1" t="s">
        <v>34</v>
      </c>
      <c r="D15" s="4">
        <v>54165.0</v>
      </c>
      <c r="E15" s="1">
        <v>-2.0</v>
      </c>
      <c r="F15" s="1">
        <v>26.0</v>
      </c>
      <c r="G15" s="4">
        <v>20070.0</v>
      </c>
      <c r="H15" s="1">
        <v>-8.3</v>
      </c>
      <c r="I15" s="1">
        <v>33.8</v>
      </c>
    </row>
    <row r="16">
      <c r="A16" s="1">
        <v>2023.0</v>
      </c>
      <c r="B16" s="1" t="s">
        <v>26</v>
      </c>
      <c r="C16" s="1" t="s">
        <v>35</v>
      </c>
      <c r="D16" s="4">
        <v>55032.0</v>
      </c>
      <c r="E16" s="1">
        <v>1.6</v>
      </c>
      <c r="F16" s="1">
        <v>17.7</v>
      </c>
      <c r="G16" s="4">
        <v>23778.0</v>
      </c>
      <c r="H16" s="1">
        <v>18.5</v>
      </c>
      <c r="I16" s="1">
        <v>29.5</v>
      </c>
    </row>
    <row r="17">
      <c r="A17" s="1">
        <v>2024.0</v>
      </c>
      <c r="B17" s="1" t="s">
        <v>20</v>
      </c>
      <c r="C17" s="1" t="s">
        <v>36</v>
      </c>
      <c r="D17" s="4">
        <v>58614.0</v>
      </c>
      <c r="E17" s="1">
        <v>6.5</v>
      </c>
      <c r="F17" s="1">
        <v>19.0</v>
      </c>
      <c r="G17" s="4">
        <v>24063.0</v>
      </c>
      <c r="H17" s="1">
        <v>1.2</v>
      </c>
      <c r="I17" s="1">
        <v>25.3</v>
      </c>
    </row>
    <row r="18">
      <c r="A18" s="1">
        <v>2024.0</v>
      </c>
      <c r="B18" s="1" t="s">
        <v>22</v>
      </c>
      <c r="C18" s="1" t="s">
        <v>37</v>
      </c>
      <c r="D18" s="4">
        <v>68439.0</v>
      </c>
      <c r="E18" s="1">
        <v>16.8</v>
      </c>
      <c r="F18" s="1">
        <v>23.8</v>
      </c>
      <c r="G18" s="4">
        <v>28136.0</v>
      </c>
      <c r="H18" s="1">
        <v>16.9</v>
      </c>
      <c r="I18" s="1">
        <v>28.6</v>
      </c>
    </row>
    <row r="19">
      <c r="A19" s="1">
        <v>2024.0</v>
      </c>
      <c r="B19" s="1" t="s">
        <v>24</v>
      </c>
      <c r="C19" s="1" t="s">
        <v>38</v>
      </c>
      <c r="D19" s="4">
        <v>66256.0</v>
      </c>
      <c r="E19" s="1">
        <v>-3.2</v>
      </c>
      <c r="F19" s="1">
        <v>22.3</v>
      </c>
      <c r="G19" s="4">
        <v>25562.0</v>
      </c>
      <c r="H19" s="1">
        <v>-9.1</v>
      </c>
      <c r="I19" s="1">
        <v>27.4</v>
      </c>
    </row>
    <row r="20">
      <c r="A20" s="1">
        <v>2024.0</v>
      </c>
      <c r="B20" s="1" t="s">
        <v>26</v>
      </c>
      <c r="C20" s="1" t="s">
        <v>39</v>
      </c>
      <c r="D20" s="4">
        <v>66817.0</v>
      </c>
      <c r="E20" s="1">
        <v>0.8</v>
      </c>
      <c r="F20" s="1">
        <v>21.4</v>
      </c>
      <c r="G20" s="4">
        <v>28985.0</v>
      </c>
      <c r="H20" s="1">
        <v>13.4</v>
      </c>
      <c r="I20" s="1">
        <v>21.9</v>
      </c>
    </row>
    <row r="21">
      <c r="A21" s="1">
        <v>2025.0</v>
      </c>
      <c r="B21" s="1" t="s">
        <v>20</v>
      </c>
      <c r="C21" s="1" t="s">
        <v>40</v>
      </c>
      <c r="D21" s="4">
        <v>69678.0</v>
      </c>
      <c r="E21" s="1">
        <v>4.3</v>
      </c>
      <c r="F21" s="1">
        <v>18.9</v>
      </c>
      <c r="G21" s="4">
        <v>29384.0</v>
      </c>
      <c r="H21" s="1">
        <v>1.4</v>
      </c>
      <c r="I21" s="1">
        <v>22.1</v>
      </c>
    </row>
    <row r="22">
      <c r="A22" s="1">
        <v>2025.0</v>
      </c>
      <c r="B22" s="1" t="s">
        <v>22</v>
      </c>
      <c r="C22" s="1" t="s">
        <v>41</v>
      </c>
      <c r="D22" s="4">
        <v>73753.0</v>
      </c>
      <c r="E22" s="1">
        <v>5.8</v>
      </c>
      <c r="F22" s="1">
        <v>7.8</v>
      </c>
      <c r="G22" s="4">
        <v>29206.0</v>
      </c>
      <c r="H22" s="1">
        <v>-0.6</v>
      </c>
      <c r="I22" s="1">
        <v>3.8</v>
      </c>
    </row>
    <row r="23">
      <c r="A23" s="1">
        <v>2025.0</v>
      </c>
      <c r="B23" s="1" t="s">
        <v>24</v>
      </c>
      <c r="C23" s="1" t="s">
        <v>42</v>
      </c>
      <c r="D23" s="4">
        <v>72604.0</v>
      </c>
      <c r="E23" s="1">
        <v>-1.6</v>
      </c>
      <c r="F23" s="1">
        <v>9.6</v>
      </c>
      <c r="G23" s="4">
        <v>29840.0</v>
      </c>
      <c r="H23" s="1">
        <v>2.2</v>
      </c>
      <c r="I23" s="1">
        <v>16.7</v>
      </c>
    </row>
    <row r="24">
      <c r="A24" s="1">
        <v>2025.0</v>
      </c>
      <c r="B24" s="1" t="s">
        <v>26</v>
      </c>
      <c r="C24" s="1" t="s">
        <v>43</v>
      </c>
      <c r="D24" s="4">
        <v>74030.0</v>
      </c>
      <c r="E24" s="1">
        <v>2.0</v>
      </c>
      <c r="F24" s="1">
        <v>10.8</v>
      </c>
      <c r="G24" s="4">
        <v>32566.0</v>
      </c>
      <c r="H24" s="1">
        <v>9.1</v>
      </c>
      <c r="I24" s="1">
        <v>12.4</v>
      </c>
    </row>
  </sheetData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1" t="s">
        <v>44</v>
      </c>
    </row>
    <row r="2">
      <c r="A2" s="2" t="s">
        <v>45</v>
      </c>
    </row>
    <row r="4">
      <c r="A4" s="3" t="s">
        <v>46</v>
      </c>
      <c r="B4" s="3">
        <v>2017.0</v>
      </c>
      <c r="C4" s="3">
        <v>2018.0</v>
      </c>
      <c r="D4" s="3">
        <v>2019.0</v>
      </c>
      <c r="E4" s="3">
        <v>2020.0</v>
      </c>
      <c r="F4" s="3">
        <v>2021.0</v>
      </c>
      <c r="G4" s="3">
        <v>2022.0</v>
      </c>
      <c r="H4" s="3">
        <v>2023.0</v>
      </c>
      <c r="I4" s="3">
        <v>2024.0</v>
      </c>
    </row>
    <row r="5">
      <c r="A5" s="1" t="s">
        <v>47</v>
      </c>
      <c r="B5" s="4">
        <v>13141.0</v>
      </c>
      <c r="C5" s="4">
        <v>13487.0</v>
      </c>
      <c r="D5" s="4">
        <v>14274.0</v>
      </c>
      <c r="E5" s="4">
        <v>7243.0</v>
      </c>
      <c r="F5" s="4">
        <v>3658.0</v>
      </c>
      <c r="G5" s="4">
        <v>12376.0</v>
      </c>
      <c r="H5" s="4">
        <v>15805.0</v>
      </c>
      <c r="I5" s="4">
        <v>17138.0</v>
      </c>
    </row>
    <row r="6">
      <c r="A6" s="1" t="s">
        <v>48</v>
      </c>
      <c r="B6" s="4">
        <v>13305.0</v>
      </c>
      <c r="C6" s="4">
        <v>14480.0</v>
      </c>
      <c r="D6" s="4">
        <v>14831.0</v>
      </c>
      <c r="E6" s="4">
        <v>10108.0</v>
      </c>
      <c r="F6" s="4">
        <v>4023.0</v>
      </c>
      <c r="G6" s="4">
        <v>11186.0</v>
      </c>
      <c r="H6" s="4">
        <v>13444.0</v>
      </c>
      <c r="I6" s="4">
        <v>14651.0</v>
      </c>
    </row>
    <row r="7">
      <c r="A7" s="1" t="s">
        <v>49</v>
      </c>
      <c r="B7" s="4">
        <v>9624.0</v>
      </c>
      <c r="C7" s="4">
        <v>9846.0</v>
      </c>
      <c r="D7" s="4">
        <v>10986.0</v>
      </c>
      <c r="E7" s="4">
        <v>6058.0</v>
      </c>
      <c r="F7" s="4">
        <v>1921.0</v>
      </c>
      <c r="G7" s="4">
        <v>6627.0</v>
      </c>
      <c r="H7" s="4">
        <v>7549.0</v>
      </c>
      <c r="I7" s="4">
        <v>10514.0</v>
      </c>
    </row>
    <row r="8">
      <c r="A8" s="1" t="s">
        <v>50</v>
      </c>
      <c r="B8" s="4">
        <v>12625.0</v>
      </c>
      <c r="C8" s="4">
        <v>13123.0</v>
      </c>
      <c r="D8" s="4">
        <v>13979.0</v>
      </c>
      <c r="E8" s="4">
        <v>7275.0</v>
      </c>
      <c r="F8" s="4">
        <v>3878.0</v>
      </c>
      <c r="G8" s="4">
        <v>11757.0</v>
      </c>
      <c r="H8" s="4">
        <v>15559.0</v>
      </c>
      <c r="I8" s="4">
        <v>19128.0</v>
      </c>
    </row>
    <row r="9">
      <c r="A9" s="1" t="s">
        <v>51</v>
      </c>
      <c r="B9" s="4">
        <v>10822.0</v>
      </c>
      <c r="C9" s="4">
        <v>12802.0</v>
      </c>
      <c r="D9" s="4">
        <v>13303.0</v>
      </c>
      <c r="E9" s="4">
        <v>7918.0</v>
      </c>
      <c r="F9" s="4">
        <v>5485.0</v>
      </c>
      <c r="G9" s="4">
        <v>11490.0</v>
      </c>
      <c r="H9" s="4">
        <v>14959.0</v>
      </c>
      <c r="I9" s="4">
        <v>17785.0</v>
      </c>
    </row>
    <row r="10">
      <c r="A10" s="1" t="s">
        <v>52</v>
      </c>
      <c r="B10" s="4">
        <v>16491.0</v>
      </c>
      <c r="C10" s="4">
        <v>18111.0</v>
      </c>
      <c r="D10" s="4">
        <v>18498.0</v>
      </c>
      <c r="E10" s="4">
        <v>9905.0</v>
      </c>
      <c r="F10" s="4">
        <v>3405.0</v>
      </c>
      <c r="G10" s="4">
        <v>13189.0</v>
      </c>
      <c r="H10" s="4">
        <v>16456.0</v>
      </c>
      <c r="I10" s="4">
        <v>20174.0</v>
      </c>
    </row>
    <row r="11">
      <c r="A11" s="1" t="s">
        <v>53</v>
      </c>
      <c r="B11" s="4">
        <v>12643.0</v>
      </c>
      <c r="C11" s="4">
        <v>14450.0</v>
      </c>
      <c r="D11" s="4">
        <v>15411.0</v>
      </c>
      <c r="E11" s="4">
        <v>8929.0</v>
      </c>
      <c r="F11" s="4">
        <v>5061.0</v>
      </c>
      <c r="G11" s="4">
        <v>10003.0</v>
      </c>
      <c r="H11" s="4">
        <v>13128.0</v>
      </c>
      <c r="I11" s="4">
        <v>16605.0</v>
      </c>
    </row>
    <row r="12">
      <c r="A12" s="1" t="s">
        <v>54</v>
      </c>
      <c r="B12" s="4">
        <v>20110.0</v>
      </c>
      <c r="C12" s="4">
        <v>17553.0</v>
      </c>
      <c r="D12" s="4">
        <v>21070.0</v>
      </c>
      <c r="E12" s="4">
        <v>13173.0</v>
      </c>
      <c r="F12" s="4">
        <v>4489.0</v>
      </c>
      <c r="G12" s="4">
        <v>14567.0</v>
      </c>
      <c r="H12" s="4">
        <v>17108.0</v>
      </c>
      <c r="I12" s="4">
        <v>21776.0</v>
      </c>
    </row>
    <row r="13">
      <c r="A13" s="1" t="s">
        <v>55</v>
      </c>
      <c r="B13" s="4">
        <v>1414.0</v>
      </c>
      <c r="C13" s="4">
        <v>2156.0</v>
      </c>
      <c r="D13" s="4">
        <v>2088.0</v>
      </c>
      <c r="E13" s="4">
        <v>1193.0</v>
      </c>
      <c r="F13" s="4">
        <v>407.0</v>
      </c>
      <c r="G13" s="4">
        <v>1669.0</v>
      </c>
      <c r="H13" s="4">
        <v>1951.0</v>
      </c>
      <c r="I13" s="4">
        <v>3225.0</v>
      </c>
    </row>
    <row r="14">
      <c r="A14" s="1" t="s">
        <v>56</v>
      </c>
      <c r="B14" s="4">
        <v>25491.0</v>
      </c>
      <c r="C14" s="4">
        <v>30179.0</v>
      </c>
      <c r="D14" s="4">
        <v>33589.0</v>
      </c>
      <c r="E14" s="4">
        <v>19715.0</v>
      </c>
      <c r="F14" s="4">
        <v>10212.0</v>
      </c>
      <c r="G14" s="4">
        <v>21990.0</v>
      </c>
      <c r="H14" s="4">
        <v>27579.0</v>
      </c>
      <c r="I14" s="4">
        <v>34461.0</v>
      </c>
    </row>
    <row r="15">
      <c r="A15" s="1" t="s">
        <v>57</v>
      </c>
      <c r="B15" s="4">
        <v>12979.0</v>
      </c>
      <c r="C15" s="4">
        <v>13742.0</v>
      </c>
      <c r="D15" s="4">
        <v>14158.0</v>
      </c>
      <c r="E15" s="4">
        <v>7420.0</v>
      </c>
      <c r="F15" s="4">
        <v>3719.0</v>
      </c>
      <c r="G15" s="4">
        <v>10233.0</v>
      </c>
      <c r="H15" s="4">
        <v>11761.0</v>
      </c>
      <c r="I15" s="4">
        <v>14461.0</v>
      </c>
    </row>
    <row r="16">
      <c r="A16" s="1" t="s">
        <v>58</v>
      </c>
      <c r="B16" s="4">
        <v>17792.0</v>
      </c>
      <c r="C16" s="4">
        <v>20360.0</v>
      </c>
      <c r="D16" s="4">
        <v>22035.0</v>
      </c>
      <c r="E16" s="4">
        <v>10337.0</v>
      </c>
      <c r="F16" s="4">
        <v>3815.0</v>
      </c>
      <c r="G16" s="4">
        <v>12589.0</v>
      </c>
      <c r="H16" s="4">
        <v>16080.0</v>
      </c>
      <c r="I16" s="4">
        <v>20592.0</v>
      </c>
    </row>
    <row r="17">
      <c r="A17" s="1" t="s">
        <v>59</v>
      </c>
      <c r="B17" s="4">
        <v>17670.0</v>
      </c>
      <c r="C17" s="4">
        <v>19380.0</v>
      </c>
      <c r="D17" s="4">
        <v>19793.0</v>
      </c>
      <c r="E17" s="4">
        <v>9393.0</v>
      </c>
      <c r="F17" s="4">
        <v>6511.0</v>
      </c>
      <c r="G17" s="4">
        <v>15465.0</v>
      </c>
      <c r="H17" s="4">
        <v>17901.0</v>
      </c>
      <c r="I17" s="4">
        <v>19626.0</v>
      </c>
    </row>
    <row r="18">
      <c r="A18" s="1" t="s">
        <v>60</v>
      </c>
      <c r="B18" s="4">
        <v>19049.0</v>
      </c>
      <c r="C18" s="4">
        <v>19165.0</v>
      </c>
      <c r="D18" s="4">
        <v>22633.0</v>
      </c>
      <c r="E18" s="4">
        <v>12435.0</v>
      </c>
      <c r="F18" s="4">
        <v>9116.0</v>
      </c>
      <c r="G18" s="4">
        <v>16913.0</v>
      </c>
      <c r="H18" s="4">
        <v>22233.0</v>
      </c>
      <c r="I18" s="4">
        <v>26983.0</v>
      </c>
    </row>
    <row r="19">
      <c r="A19" s="1" t="s">
        <v>61</v>
      </c>
      <c r="B19" s="4">
        <v>381.0</v>
      </c>
      <c r="C19" s="4">
        <v>545.0</v>
      </c>
      <c r="D19" s="4">
        <v>524.0</v>
      </c>
      <c r="E19" s="4">
        <v>107.0</v>
      </c>
      <c r="F19" s="4">
        <v>54.0</v>
      </c>
      <c r="G19" s="4">
        <v>244.0</v>
      </c>
      <c r="H19" s="4">
        <v>331.0</v>
      </c>
      <c r="I19" s="4">
        <v>450.0</v>
      </c>
    </row>
    <row r="20">
      <c r="A20" s="1" t="s">
        <v>62</v>
      </c>
      <c r="B20" s="4">
        <v>1872.0</v>
      </c>
      <c r="C20" s="4">
        <v>1892.0</v>
      </c>
      <c r="D20" s="4">
        <v>1949.0</v>
      </c>
      <c r="E20" s="4">
        <v>451.0</v>
      </c>
      <c r="F20" s="4">
        <v>223.0</v>
      </c>
      <c r="G20" s="4">
        <v>1306.0</v>
      </c>
      <c r="H20" s="4">
        <v>1900.0</v>
      </c>
      <c r="I20" s="4">
        <v>2557.0</v>
      </c>
    </row>
  </sheetData>
  <hyperlinks>
    <hyperlink r:id="rId1" ref="A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7" max="7" width="14.0"/>
  </cols>
  <sheetData>
    <row r="1">
      <c r="A1" s="1" t="s">
        <v>63</v>
      </c>
    </row>
    <row r="2">
      <c r="A2" s="2" t="s">
        <v>64</v>
      </c>
    </row>
    <row r="3">
      <c r="A3" s="1"/>
      <c r="B3" s="4"/>
      <c r="C3" s="4"/>
      <c r="D3" s="4"/>
      <c r="E3" s="4"/>
      <c r="F3" s="4"/>
      <c r="G3" s="4"/>
      <c r="H3" s="4"/>
      <c r="I3" s="4"/>
    </row>
    <row r="4">
      <c r="A4" s="3" t="s">
        <v>65</v>
      </c>
      <c r="B4" s="5" t="s">
        <v>66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60</v>
      </c>
      <c r="Q4" s="3" t="s">
        <v>61</v>
      </c>
      <c r="R4" s="3" t="s">
        <v>62</v>
      </c>
      <c r="S4" s="6"/>
      <c r="T4" s="6"/>
      <c r="U4" s="6"/>
      <c r="V4" s="6"/>
      <c r="W4" s="6"/>
      <c r="X4" s="6"/>
      <c r="Y4" s="6"/>
      <c r="Z4" s="6"/>
    </row>
    <row r="5">
      <c r="A5" s="3" t="s">
        <v>66</v>
      </c>
      <c r="B5" s="7">
        <v>93445.3</v>
      </c>
      <c r="C5" s="7">
        <v>9481.1</v>
      </c>
      <c r="D5" s="7">
        <v>6854.4</v>
      </c>
      <c r="E5" s="7">
        <v>5863.8</v>
      </c>
      <c r="F5" s="7">
        <v>6158.4</v>
      </c>
      <c r="G5" s="7">
        <v>5987.5</v>
      </c>
      <c r="H5" s="7">
        <v>9525.8</v>
      </c>
      <c r="I5" s="7">
        <v>4766.0</v>
      </c>
      <c r="J5" s="7">
        <v>10209.0</v>
      </c>
      <c r="K5" s="7">
        <v>1262.0</v>
      </c>
      <c r="L5" s="7">
        <v>9574.4</v>
      </c>
      <c r="M5" s="7">
        <v>4918.4</v>
      </c>
      <c r="N5" s="7">
        <v>6081.5</v>
      </c>
      <c r="O5" s="7">
        <v>5701.0</v>
      </c>
      <c r="P5" s="7">
        <v>6216.3</v>
      </c>
      <c r="Q5" s="7">
        <v>194.1</v>
      </c>
      <c r="R5" s="7">
        <v>651.6</v>
      </c>
    </row>
    <row r="6">
      <c r="A6" s="3" t="s">
        <v>47</v>
      </c>
      <c r="B6" s="7">
        <v>11279.8</v>
      </c>
      <c r="C6" s="7">
        <v>3704.7</v>
      </c>
      <c r="D6" s="7">
        <v>196.7</v>
      </c>
      <c r="E6" s="7">
        <v>425.3</v>
      </c>
      <c r="F6" s="7">
        <v>1528.0</v>
      </c>
      <c r="G6" s="7">
        <v>617.0</v>
      </c>
      <c r="H6" s="7">
        <v>920.0</v>
      </c>
      <c r="I6" s="7">
        <v>221.3</v>
      </c>
      <c r="J6" s="7">
        <v>403.3</v>
      </c>
      <c r="K6" s="7">
        <v>95.6</v>
      </c>
      <c r="L6" s="7">
        <v>1746.8</v>
      </c>
      <c r="M6" s="7">
        <v>188.5</v>
      </c>
      <c r="N6" s="7">
        <v>168.9</v>
      </c>
      <c r="O6" s="7">
        <v>209.9</v>
      </c>
      <c r="P6" s="7">
        <v>787.6</v>
      </c>
      <c r="Q6" s="7">
        <v>13.4</v>
      </c>
      <c r="R6" s="7">
        <v>52.9</v>
      </c>
    </row>
    <row r="7">
      <c r="A7" s="3" t="s">
        <v>48</v>
      </c>
      <c r="B7" s="7">
        <v>4850.2</v>
      </c>
      <c r="C7" s="7">
        <v>133.1</v>
      </c>
      <c r="D7" s="7">
        <v>1787.5</v>
      </c>
      <c r="E7" s="7">
        <v>276.2</v>
      </c>
      <c r="F7" s="7">
        <v>96.2</v>
      </c>
      <c r="G7" s="7">
        <v>233.3</v>
      </c>
      <c r="H7" s="7">
        <v>248.8</v>
      </c>
      <c r="I7" s="7">
        <v>450.1</v>
      </c>
      <c r="J7" s="7">
        <v>723.3</v>
      </c>
      <c r="K7" s="7">
        <v>130.8</v>
      </c>
      <c r="L7" s="7">
        <v>297.1</v>
      </c>
      <c r="M7" s="7">
        <v>61.2</v>
      </c>
      <c r="N7" s="7">
        <v>32.9</v>
      </c>
      <c r="O7" s="7">
        <v>30.2</v>
      </c>
      <c r="P7" s="7">
        <v>254.9</v>
      </c>
      <c r="Q7" s="7">
        <v>7.1</v>
      </c>
      <c r="R7" s="7">
        <v>87.5</v>
      </c>
    </row>
    <row r="8">
      <c r="A8" s="3" t="s">
        <v>49</v>
      </c>
      <c r="B8" s="7">
        <v>3115.7</v>
      </c>
      <c r="C8" s="7">
        <v>115.9</v>
      </c>
      <c r="D8" s="7">
        <v>132.2</v>
      </c>
      <c r="E8" s="7">
        <v>978.0</v>
      </c>
      <c r="F8" s="7">
        <v>8.6</v>
      </c>
      <c r="G8" s="7">
        <v>106.1</v>
      </c>
      <c r="H8" s="7">
        <v>251.9</v>
      </c>
      <c r="I8" s="7">
        <v>146.9</v>
      </c>
      <c r="J8" s="7">
        <v>222.0</v>
      </c>
      <c r="K8" s="7">
        <v>34.5</v>
      </c>
      <c r="L8" s="7">
        <v>259.0</v>
      </c>
      <c r="M8" s="7">
        <v>496.8</v>
      </c>
      <c r="N8" s="7">
        <v>28.8</v>
      </c>
      <c r="O8" s="7">
        <v>3.6</v>
      </c>
      <c r="P8" s="7">
        <v>232.4</v>
      </c>
      <c r="Q8" s="7">
        <v>3.3</v>
      </c>
      <c r="R8" s="7">
        <v>95.8</v>
      </c>
    </row>
    <row r="9">
      <c r="A9" s="3" t="s">
        <v>50</v>
      </c>
      <c r="B9" s="7">
        <v>2989.8</v>
      </c>
      <c r="C9" s="7">
        <v>459.1</v>
      </c>
      <c r="D9" s="7">
        <v>122.6</v>
      </c>
      <c r="E9" s="7">
        <v>79.5</v>
      </c>
      <c r="F9" s="7">
        <v>266.1</v>
      </c>
      <c r="G9" s="7">
        <v>379.1</v>
      </c>
      <c r="H9" s="7">
        <v>254.6</v>
      </c>
      <c r="I9" s="7">
        <v>106.2</v>
      </c>
      <c r="J9" s="7">
        <v>259.2</v>
      </c>
      <c r="K9" s="7">
        <v>3.2</v>
      </c>
      <c r="L9" s="7">
        <v>378.1</v>
      </c>
      <c r="M9" s="7">
        <v>74.9</v>
      </c>
      <c r="N9" s="7">
        <v>78.2</v>
      </c>
      <c r="O9" s="7">
        <v>27.8</v>
      </c>
      <c r="P9" s="7">
        <v>458.3</v>
      </c>
      <c r="Q9" s="7">
        <v>1.6</v>
      </c>
      <c r="R9" s="7">
        <v>41.3</v>
      </c>
    </row>
    <row r="10">
      <c r="A10" s="3" t="s">
        <v>51</v>
      </c>
      <c r="B10" s="7">
        <v>3608.3</v>
      </c>
      <c r="C10" s="7">
        <v>464.8</v>
      </c>
      <c r="D10" s="7">
        <v>71.6</v>
      </c>
      <c r="E10" s="7">
        <v>258.2</v>
      </c>
      <c r="F10" s="7">
        <v>359.6</v>
      </c>
      <c r="G10" s="7">
        <v>714.6</v>
      </c>
      <c r="H10" s="7">
        <v>459.9</v>
      </c>
      <c r="I10" s="7">
        <v>140.5</v>
      </c>
      <c r="J10" s="7">
        <v>315.0</v>
      </c>
      <c r="K10" s="7">
        <v>18.3</v>
      </c>
      <c r="L10" s="7">
        <v>351.4</v>
      </c>
      <c r="M10" s="7">
        <v>136.4</v>
      </c>
      <c r="N10" s="7">
        <v>8.8</v>
      </c>
      <c r="O10" s="7">
        <v>9.9</v>
      </c>
      <c r="P10" s="7">
        <v>256.1</v>
      </c>
      <c r="Q10" s="7">
        <v>6.8</v>
      </c>
      <c r="R10" s="7">
        <v>36.3</v>
      </c>
    </row>
    <row r="11">
      <c r="A11" s="3" t="s">
        <v>52</v>
      </c>
      <c r="B11" s="7">
        <v>5745.0</v>
      </c>
      <c r="C11" s="7">
        <v>538.8</v>
      </c>
      <c r="D11" s="7">
        <v>122.4</v>
      </c>
      <c r="E11" s="7">
        <v>474.4</v>
      </c>
      <c r="F11" s="7">
        <v>134.3</v>
      </c>
      <c r="G11" s="7">
        <v>221.1</v>
      </c>
      <c r="H11" s="7">
        <v>1981.2</v>
      </c>
      <c r="I11" s="7">
        <v>119.9</v>
      </c>
      <c r="J11" s="7">
        <v>489.0</v>
      </c>
      <c r="K11" s="7">
        <v>25.8</v>
      </c>
      <c r="L11" s="7">
        <v>383.8</v>
      </c>
      <c r="M11" s="7">
        <v>686.1</v>
      </c>
      <c r="N11" s="7">
        <v>61.9</v>
      </c>
      <c r="O11" s="7">
        <v>8.7</v>
      </c>
      <c r="P11" s="7">
        <v>467.8</v>
      </c>
      <c r="Q11" s="7">
        <v>5.9</v>
      </c>
      <c r="R11" s="7">
        <v>23.8</v>
      </c>
    </row>
    <row r="12">
      <c r="A12" s="3" t="s">
        <v>53</v>
      </c>
      <c r="B12" s="7">
        <v>4612.8</v>
      </c>
      <c r="C12" s="7">
        <v>124.8</v>
      </c>
      <c r="D12" s="7">
        <v>962.0</v>
      </c>
      <c r="E12" s="7">
        <v>4.8</v>
      </c>
      <c r="F12" s="7">
        <v>210.4</v>
      </c>
      <c r="G12" s="7">
        <v>67.8</v>
      </c>
      <c r="H12" s="7">
        <v>396.0</v>
      </c>
      <c r="I12" s="7">
        <v>523.1</v>
      </c>
      <c r="J12" s="7">
        <v>487.1</v>
      </c>
      <c r="K12" s="7">
        <v>216.4</v>
      </c>
      <c r="L12" s="7">
        <v>354.5</v>
      </c>
      <c r="M12" s="7">
        <v>489.9</v>
      </c>
      <c r="N12" s="7">
        <v>181.9</v>
      </c>
      <c r="O12" s="7">
        <v>1.1</v>
      </c>
      <c r="P12" s="7">
        <v>539.0</v>
      </c>
      <c r="Q12" s="7">
        <v>8.0</v>
      </c>
      <c r="R12" s="7">
        <v>46.0</v>
      </c>
    </row>
    <row r="13">
      <c r="A13" s="3" t="s">
        <v>54</v>
      </c>
      <c r="B13" s="7">
        <v>6827.5</v>
      </c>
      <c r="C13" s="7">
        <v>282.4</v>
      </c>
      <c r="D13" s="7">
        <v>659.7</v>
      </c>
      <c r="E13" s="7">
        <v>245.4</v>
      </c>
      <c r="F13" s="7">
        <v>202.4</v>
      </c>
      <c r="G13" s="7">
        <v>186.8</v>
      </c>
      <c r="H13" s="7">
        <v>432.2</v>
      </c>
      <c r="I13" s="7">
        <v>384.4</v>
      </c>
      <c r="J13" s="7">
        <v>1887.0</v>
      </c>
      <c r="K13" s="7">
        <v>102.5</v>
      </c>
      <c r="L13" s="7">
        <v>1053.9</v>
      </c>
      <c r="M13" s="7">
        <v>256.3</v>
      </c>
      <c r="N13" s="7">
        <v>77.6</v>
      </c>
      <c r="O13" s="7">
        <v>37.4</v>
      </c>
      <c r="P13" s="7">
        <v>909.0</v>
      </c>
      <c r="Q13" s="7">
        <v>20.3</v>
      </c>
      <c r="R13" s="7">
        <v>90.3</v>
      </c>
    </row>
    <row r="14">
      <c r="A14" s="3" t="s">
        <v>55</v>
      </c>
      <c r="B14" s="7">
        <v>933.2</v>
      </c>
      <c r="C14" s="7">
        <v>20.5</v>
      </c>
      <c r="D14" s="7">
        <v>238.6</v>
      </c>
      <c r="E14" s="7">
        <v>34.6</v>
      </c>
      <c r="F14" s="7">
        <v>6.8</v>
      </c>
      <c r="G14" s="7">
        <v>13.4</v>
      </c>
      <c r="H14" s="7">
        <v>75.1</v>
      </c>
      <c r="I14" s="7">
        <v>197.3</v>
      </c>
      <c r="J14" s="7">
        <v>97.4</v>
      </c>
      <c r="K14" s="7">
        <v>51.0</v>
      </c>
      <c r="L14" s="7">
        <v>73.1</v>
      </c>
      <c r="M14" s="7">
        <v>49.4</v>
      </c>
      <c r="N14" s="7">
        <v>4.2</v>
      </c>
      <c r="O14" s="7">
        <v>3.1</v>
      </c>
      <c r="P14" s="7">
        <v>56.9</v>
      </c>
      <c r="Q14" s="7">
        <v>0.8</v>
      </c>
      <c r="R14" s="7">
        <v>11.0</v>
      </c>
    </row>
    <row r="15">
      <c r="A15" s="3" t="s">
        <v>56</v>
      </c>
      <c r="B15" s="7">
        <v>21506.2</v>
      </c>
      <c r="C15" s="7">
        <v>1837.8</v>
      </c>
      <c r="D15" s="7">
        <v>1793.6</v>
      </c>
      <c r="E15" s="7">
        <v>1366.0</v>
      </c>
      <c r="F15" s="7">
        <v>1698.8</v>
      </c>
      <c r="G15" s="7">
        <v>1524.3</v>
      </c>
      <c r="H15" s="7">
        <v>1637.0</v>
      </c>
      <c r="I15" s="7">
        <v>1199.2</v>
      </c>
      <c r="J15" s="7">
        <v>3336.2</v>
      </c>
      <c r="K15" s="7">
        <v>461.2</v>
      </c>
      <c r="L15" s="7">
        <v>2953.3</v>
      </c>
      <c r="M15" s="7">
        <v>973.6</v>
      </c>
      <c r="N15" s="7">
        <v>770.9</v>
      </c>
      <c r="O15" s="7">
        <v>588.1</v>
      </c>
      <c r="P15" s="7">
        <v>1291.2</v>
      </c>
      <c r="Q15" s="7">
        <v>9.7</v>
      </c>
      <c r="R15" s="7">
        <v>65.4</v>
      </c>
    </row>
    <row r="16">
      <c r="A16" s="3" t="s">
        <v>57</v>
      </c>
      <c r="B16" s="7">
        <v>1574.3</v>
      </c>
      <c r="C16" s="7">
        <v>12.1</v>
      </c>
      <c r="D16" s="7">
        <v>7.9</v>
      </c>
      <c r="E16" s="7">
        <v>346.7</v>
      </c>
      <c r="F16" s="7">
        <v>10.5</v>
      </c>
      <c r="G16" s="7">
        <v>19.3</v>
      </c>
      <c r="H16" s="7">
        <v>293.9</v>
      </c>
      <c r="I16" s="7">
        <v>34.8</v>
      </c>
      <c r="J16" s="7">
        <v>19.1</v>
      </c>
      <c r="K16" s="7">
        <v>5.5</v>
      </c>
      <c r="L16" s="7">
        <v>224.9</v>
      </c>
      <c r="M16" s="7">
        <v>487.7</v>
      </c>
      <c r="N16" s="7">
        <v>26.8</v>
      </c>
      <c r="O16" s="7">
        <v>2.7</v>
      </c>
      <c r="P16" s="7">
        <v>74.3</v>
      </c>
      <c r="Q16" s="7">
        <v>5.0</v>
      </c>
      <c r="R16" s="7">
        <v>3.0</v>
      </c>
    </row>
    <row r="17">
      <c r="A17" s="3" t="s">
        <v>58</v>
      </c>
      <c r="B17" s="7">
        <v>5323.4</v>
      </c>
      <c r="C17" s="7">
        <v>27.4</v>
      </c>
      <c r="D17" s="7">
        <v>34.3</v>
      </c>
      <c r="E17" s="7">
        <v>7.9</v>
      </c>
      <c r="F17" s="7">
        <v>28.1</v>
      </c>
      <c r="G17" s="7">
        <v>6.9</v>
      </c>
      <c r="H17" s="7">
        <v>11.5</v>
      </c>
      <c r="I17" s="7">
        <v>86.5</v>
      </c>
      <c r="J17" s="7">
        <v>6.0</v>
      </c>
      <c r="K17" s="7">
        <v>4.4</v>
      </c>
      <c r="L17" s="7">
        <v>200.9</v>
      </c>
      <c r="M17" s="7">
        <v>10.2</v>
      </c>
      <c r="N17" s="7">
        <v>4132.3</v>
      </c>
      <c r="O17" s="7">
        <v>386.6</v>
      </c>
      <c r="P17" s="7">
        <v>277.9</v>
      </c>
      <c r="Q17" s="7">
        <v>64.2</v>
      </c>
      <c r="R17" s="7">
        <v>38.4</v>
      </c>
    </row>
    <row r="18">
      <c r="A18" s="3" t="s">
        <v>59</v>
      </c>
      <c r="B18" s="7">
        <v>5067.5</v>
      </c>
      <c r="C18" s="7">
        <v>41.5</v>
      </c>
      <c r="D18" s="7">
        <v>72.6</v>
      </c>
      <c r="E18" s="7">
        <v>23.4</v>
      </c>
      <c r="F18" s="7">
        <v>7.0</v>
      </c>
      <c r="G18" s="7">
        <v>8.1</v>
      </c>
      <c r="H18" s="7">
        <v>12.6</v>
      </c>
      <c r="I18" s="7">
        <v>41.9</v>
      </c>
      <c r="J18" s="7">
        <v>5.6</v>
      </c>
      <c r="K18" s="7">
        <v>13.2</v>
      </c>
      <c r="L18" s="7">
        <v>211.8</v>
      </c>
      <c r="M18" s="7">
        <v>22.4</v>
      </c>
      <c r="N18" s="7">
        <v>247.5</v>
      </c>
      <c r="O18" s="7">
        <v>4055.8</v>
      </c>
      <c r="P18" s="7">
        <v>246.0</v>
      </c>
      <c r="Q18" s="7">
        <v>27.3</v>
      </c>
      <c r="R18" s="7">
        <v>30.9</v>
      </c>
    </row>
    <row r="19">
      <c r="A19" s="3" t="s">
        <v>60</v>
      </c>
      <c r="B19" s="7">
        <v>15233.5</v>
      </c>
      <c r="C19" s="7">
        <v>1689.7</v>
      </c>
      <c r="D19" s="7">
        <v>624.9</v>
      </c>
      <c r="E19" s="7">
        <v>1289.4</v>
      </c>
      <c r="F19" s="7">
        <v>1520.4</v>
      </c>
      <c r="G19" s="7">
        <v>1815.3</v>
      </c>
      <c r="H19" s="7">
        <v>2485.9</v>
      </c>
      <c r="I19" s="7">
        <v>1088.2</v>
      </c>
      <c r="J19" s="7">
        <v>1881.6</v>
      </c>
      <c r="K19" s="7">
        <v>97.9</v>
      </c>
      <c r="L19" s="7">
        <v>1026.4</v>
      </c>
      <c r="M19" s="7">
        <v>954.5</v>
      </c>
      <c r="N19" s="7">
        <v>106.0</v>
      </c>
      <c r="O19" s="7">
        <v>304.5</v>
      </c>
      <c r="P19" s="7">
        <v>338.1</v>
      </c>
      <c r="Q19" s="7">
        <v>4.0</v>
      </c>
      <c r="R19" s="7">
        <v>6.8</v>
      </c>
    </row>
    <row r="20">
      <c r="A20" s="3" t="s">
        <v>61</v>
      </c>
      <c r="B20" s="7">
        <v>238.3</v>
      </c>
      <c r="C20" s="7">
        <v>0.1</v>
      </c>
      <c r="D20" s="7">
        <v>1.8</v>
      </c>
      <c r="E20" s="7">
        <v>1.9</v>
      </c>
      <c r="F20" s="7">
        <v>0.2</v>
      </c>
      <c r="G20" s="7">
        <v>1.3</v>
      </c>
      <c r="H20" s="7">
        <v>21.0</v>
      </c>
      <c r="I20" s="7">
        <v>0.5</v>
      </c>
      <c r="J20" s="7">
        <v>1.2</v>
      </c>
      <c r="K20" s="7">
        <v>0.6</v>
      </c>
      <c r="L20" s="7">
        <v>3.5</v>
      </c>
      <c r="M20" s="7">
        <v>1.8</v>
      </c>
      <c r="N20" s="7">
        <v>151.3</v>
      </c>
      <c r="O20" s="7">
        <v>16.2</v>
      </c>
      <c r="P20" s="7">
        <v>13.7</v>
      </c>
      <c r="Q20" s="7">
        <v>15.2</v>
      </c>
      <c r="R20" s="7">
        <v>7.9</v>
      </c>
    </row>
    <row r="21">
      <c r="A21" s="3" t="s">
        <v>62</v>
      </c>
      <c r="B21" s="7">
        <v>539.9</v>
      </c>
      <c r="C21" s="7">
        <v>28.4</v>
      </c>
      <c r="D21" s="7">
        <v>26.1</v>
      </c>
      <c r="E21" s="7">
        <v>52.1</v>
      </c>
      <c r="F21" s="7">
        <v>80.8</v>
      </c>
      <c r="G21" s="7">
        <v>73.1</v>
      </c>
      <c r="H21" s="7">
        <v>44.2</v>
      </c>
      <c r="I21" s="7">
        <v>25.3</v>
      </c>
      <c r="J21" s="7">
        <v>76.0</v>
      </c>
      <c r="K21" s="7">
        <v>1.4</v>
      </c>
      <c r="L21" s="7">
        <v>55.9</v>
      </c>
      <c r="M21" s="7">
        <v>28.7</v>
      </c>
      <c r="N21" s="7">
        <v>3.4</v>
      </c>
      <c r="O21" s="7">
        <v>15.3</v>
      </c>
      <c r="P21" s="7">
        <v>13.2</v>
      </c>
      <c r="Q21" s="7">
        <v>1.6</v>
      </c>
      <c r="R21" s="7">
        <v>14.4</v>
      </c>
    </row>
  </sheetData>
  <hyperlinks>
    <hyperlink r:id="rId1" ref="A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</cols>
  <sheetData>
    <row r="1">
      <c r="A1" s="1" t="s">
        <v>67</v>
      </c>
    </row>
    <row r="2">
      <c r="A2" s="2" t="s">
        <v>68</v>
      </c>
    </row>
    <row r="4">
      <c r="A4" s="3" t="s">
        <v>69</v>
      </c>
      <c r="B4" s="3" t="s">
        <v>70</v>
      </c>
      <c r="C4" s="3" t="s">
        <v>71</v>
      </c>
      <c r="D4" s="3" t="s">
        <v>72</v>
      </c>
      <c r="E4" s="3" t="s">
        <v>73</v>
      </c>
    </row>
    <row r="5">
      <c r="A5" s="1" t="s">
        <v>74</v>
      </c>
      <c r="B5" s="4">
        <v>3.0842715E7</v>
      </c>
      <c r="C5" s="4">
        <v>3.9910477E7</v>
      </c>
      <c r="D5" s="1">
        <v>36.3</v>
      </c>
      <c r="E5" s="1">
        <v>37.4</v>
      </c>
    </row>
    <row r="6">
      <c r="A6" s="1" t="s">
        <v>75</v>
      </c>
      <c r="B6" s="4">
        <v>1.1226727E7</v>
      </c>
      <c r="C6" s="4">
        <v>1.350789E7</v>
      </c>
      <c r="D6" s="1">
        <v>13.2</v>
      </c>
      <c r="E6" s="1">
        <v>12.7</v>
      </c>
    </row>
    <row r="7">
      <c r="A7" s="1" t="s">
        <v>76</v>
      </c>
      <c r="B7" s="4">
        <v>5691081.0</v>
      </c>
      <c r="C7" s="4">
        <v>7187187.0</v>
      </c>
      <c r="D7" s="1">
        <v>6.7</v>
      </c>
      <c r="E7" s="1">
        <v>6.7</v>
      </c>
    </row>
    <row r="8">
      <c r="A8" s="1" t="s">
        <v>77</v>
      </c>
      <c r="B8" s="4">
        <v>1.3802774E7</v>
      </c>
      <c r="C8" s="4">
        <v>1.7342498E7</v>
      </c>
      <c r="D8" s="1">
        <v>16.3</v>
      </c>
      <c r="E8" s="1">
        <v>16.2</v>
      </c>
    </row>
    <row r="9">
      <c r="A9" s="1" t="s">
        <v>78</v>
      </c>
      <c r="B9" s="4">
        <v>1.0653466E7</v>
      </c>
      <c r="C9" s="4">
        <v>1.1914439E7</v>
      </c>
      <c r="D9" s="1">
        <v>12.5</v>
      </c>
      <c r="E9" s="1">
        <v>11.2</v>
      </c>
    </row>
    <row r="10">
      <c r="A10" s="1" t="s">
        <v>79</v>
      </c>
      <c r="B10" s="4">
        <v>3126434.0</v>
      </c>
      <c r="C10" s="4">
        <v>4147411.0</v>
      </c>
      <c r="D10" s="1">
        <v>3.7</v>
      </c>
      <c r="E10" s="1">
        <v>3.9</v>
      </c>
    </row>
    <row r="11">
      <c r="A11" s="1" t="s">
        <v>80</v>
      </c>
      <c r="B11" s="4">
        <v>3333225.0</v>
      </c>
      <c r="C11" s="4">
        <v>4436327.0</v>
      </c>
      <c r="D11" s="1">
        <v>3.9</v>
      </c>
      <c r="E11" s="1">
        <v>4.2</v>
      </c>
    </row>
    <row r="12">
      <c r="A12" s="1" t="s">
        <v>81</v>
      </c>
      <c r="B12" s="4">
        <v>6255703.0</v>
      </c>
      <c r="C12" s="4">
        <v>8299883.0</v>
      </c>
      <c r="D12" s="1">
        <v>7.4</v>
      </c>
      <c r="E12" s="1">
        <v>7.7</v>
      </c>
    </row>
    <row r="13">
      <c r="A13" s="3" t="s">
        <v>82</v>
      </c>
      <c r="B13" s="4">
        <f t="shared" ref="B13:E13" si="1">SUM(B5:B12)</f>
        <v>84932125</v>
      </c>
      <c r="C13" s="4">
        <f t="shared" si="1"/>
        <v>106746112</v>
      </c>
      <c r="D13" s="1">
        <f t="shared" si="1"/>
        <v>100</v>
      </c>
      <c r="E13" s="1">
        <f t="shared" si="1"/>
        <v>100</v>
      </c>
    </row>
  </sheetData>
  <hyperlinks>
    <hyperlink r:id="rId1" ref="A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6.88"/>
    <col customWidth="1" min="3" max="3" width="19.13"/>
    <col customWidth="1" min="4" max="4" width="14.63"/>
    <col customWidth="1" min="5" max="5" width="16.88"/>
    <col customWidth="1" min="6" max="6" width="19.13"/>
    <col customWidth="1" min="7" max="7" width="14.63"/>
  </cols>
  <sheetData>
    <row r="1">
      <c r="A1" s="1" t="s">
        <v>83</v>
      </c>
    </row>
    <row r="2">
      <c r="A2" s="2" t="s">
        <v>84</v>
      </c>
    </row>
    <row r="4">
      <c r="A4" s="3" t="s">
        <v>85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</row>
    <row r="5">
      <c r="A5" s="1" t="s">
        <v>92</v>
      </c>
      <c r="B5" s="1">
        <v>1.8</v>
      </c>
      <c r="C5" s="1">
        <v>0.1</v>
      </c>
      <c r="D5" s="1">
        <v>4.8</v>
      </c>
      <c r="E5" s="1">
        <v>2.1</v>
      </c>
      <c r="F5" s="1">
        <v>0.2</v>
      </c>
      <c r="G5" s="1">
        <v>4.9</v>
      </c>
    </row>
    <row r="6">
      <c r="A6" s="1" t="s">
        <v>93</v>
      </c>
      <c r="B6" s="1">
        <v>0.3</v>
      </c>
      <c r="C6" s="1">
        <v>0.3</v>
      </c>
      <c r="D6" s="1">
        <v>0.4</v>
      </c>
      <c r="E6" s="1">
        <v>0.3</v>
      </c>
      <c r="F6" s="1">
        <v>0.1</v>
      </c>
      <c r="G6" s="1">
        <v>0.8</v>
      </c>
    </row>
    <row r="7">
      <c r="A7" s="1" t="s">
        <v>94</v>
      </c>
      <c r="B7" s="1">
        <v>97.9</v>
      </c>
      <c r="C7" s="1">
        <v>99.6</v>
      </c>
      <c r="D7" s="1">
        <v>94.8</v>
      </c>
      <c r="E7" s="1">
        <v>97.6</v>
      </c>
      <c r="F7" s="1">
        <v>99.7</v>
      </c>
      <c r="G7" s="1">
        <v>94.3</v>
      </c>
    </row>
    <row r="8">
      <c r="A8" s="1" t="s">
        <v>95</v>
      </c>
      <c r="B8" s="1">
        <v>91.7</v>
      </c>
      <c r="C8" s="1">
        <v>92.0</v>
      </c>
      <c r="D8" s="1">
        <v>91.3</v>
      </c>
      <c r="E8" s="1">
        <v>90.9</v>
      </c>
      <c r="F8" s="1">
        <v>91.0</v>
      </c>
      <c r="G8" s="1">
        <v>91.7</v>
      </c>
    </row>
    <row r="9">
      <c r="A9" s="1" t="s">
        <v>96</v>
      </c>
      <c r="B9" s="1">
        <v>4.6</v>
      </c>
      <c r="C9" s="1">
        <v>4.4</v>
      </c>
      <c r="D9" s="1">
        <v>4.7</v>
      </c>
      <c r="E9" s="1">
        <v>4.1</v>
      </c>
      <c r="F9" s="1">
        <v>4.6</v>
      </c>
      <c r="G9" s="1">
        <v>2.1</v>
      </c>
    </row>
    <row r="10">
      <c r="A10" s="1" t="s">
        <v>97</v>
      </c>
      <c r="B10" s="1">
        <v>3.2</v>
      </c>
      <c r="C10" s="1">
        <v>3.0</v>
      </c>
      <c r="D10" s="1">
        <v>3.6</v>
      </c>
      <c r="E10" s="1">
        <v>3.9</v>
      </c>
      <c r="F10" s="1">
        <v>3.5</v>
      </c>
      <c r="G10" s="1">
        <v>4.7</v>
      </c>
    </row>
    <row r="11">
      <c r="A11" s="1" t="s">
        <v>98</v>
      </c>
      <c r="B11" s="1">
        <v>0.5</v>
      </c>
      <c r="C11" s="1">
        <v>0.6</v>
      </c>
      <c r="D11" s="1">
        <v>0.4</v>
      </c>
      <c r="E11" s="1">
        <v>1.1</v>
      </c>
      <c r="F11" s="1">
        <v>0.9</v>
      </c>
      <c r="G11" s="1">
        <v>1.5</v>
      </c>
    </row>
    <row r="14">
      <c r="A14" s="1" t="s">
        <v>99</v>
      </c>
    </row>
    <row r="15">
      <c r="A15" s="3" t="s">
        <v>100</v>
      </c>
      <c r="B15" s="3" t="s">
        <v>101</v>
      </c>
      <c r="C15" s="3" t="s">
        <v>102</v>
      </c>
    </row>
    <row r="16">
      <c r="A16" s="1" t="s">
        <v>103</v>
      </c>
      <c r="B16" s="1">
        <v>61.3</v>
      </c>
      <c r="C16" s="1">
        <v>60.4</v>
      </c>
    </row>
    <row r="17">
      <c r="A17" s="1" t="s">
        <v>104</v>
      </c>
      <c r="B17" s="1">
        <v>22.3</v>
      </c>
      <c r="C17" s="1">
        <v>21.7</v>
      </c>
    </row>
    <row r="18">
      <c r="A18" s="1" t="s">
        <v>105</v>
      </c>
      <c r="B18" s="1">
        <v>3.1</v>
      </c>
      <c r="C18" s="1">
        <v>2.0</v>
      </c>
    </row>
    <row r="19">
      <c r="A19" s="1" t="s">
        <v>106</v>
      </c>
      <c r="B19" s="1">
        <v>3.9</v>
      </c>
      <c r="C19" s="1">
        <v>4.7</v>
      </c>
    </row>
    <row r="20">
      <c r="A20" s="1" t="s">
        <v>107</v>
      </c>
      <c r="B20" s="1">
        <v>6.7</v>
      </c>
      <c r="C20" s="1">
        <v>8.6</v>
      </c>
    </row>
    <row r="21">
      <c r="A21" s="1" t="s">
        <v>108</v>
      </c>
      <c r="B21" s="1">
        <v>2.7</v>
      </c>
      <c r="C21" s="1">
        <v>2.6</v>
      </c>
    </row>
    <row r="23">
      <c r="A23" s="1" t="s">
        <v>109</v>
      </c>
    </row>
  </sheetData>
  <hyperlinks>
    <hyperlink r:id="rId1" ref="A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" t="s">
        <v>110</v>
      </c>
    </row>
    <row r="2">
      <c r="A2" s="2" t="s">
        <v>111</v>
      </c>
    </row>
    <row r="4">
      <c r="A4" s="3" t="s">
        <v>112</v>
      </c>
      <c r="B4" s="3" t="s">
        <v>113</v>
      </c>
      <c r="C4" s="3" t="s">
        <v>101</v>
      </c>
      <c r="D4" s="3" t="s">
        <v>102</v>
      </c>
    </row>
    <row r="5">
      <c r="A5" s="1" t="s">
        <v>114</v>
      </c>
      <c r="B5" s="1" t="s">
        <v>115</v>
      </c>
      <c r="C5" s="1">
        <v>21.9</v>
      </c>
      <c r="D5" s="1">
        <v>19.2</v>
      </c>
    </row>
    <row r="6">
      <c r="A6" s="1" t="s">
        <v>114</v>
      </c>
      <c r="B6" s="1" t="s">
        <v>116</v>
      </c>
      <c r="C6" s="1">
        <v>38.7</v>
      </c>
      <c r="D6" s="1">
        <v>35.1</v>
      </c>
    </row>
    <row r="7">
      <c r="A7" s="1" t="s">
        <v>114</v>
      </c>
      <c r="B7" s="1" t="s">
        <v>117</v>
      </c>
      <c r="C7" s="1">
        <v>23.5</v>
      </c>
      <c r="D7" s="1">
        <v>27.4</v>
      </c>
    </row>
    <row r="8">
      <c r="A8" s="1" t="s">
        <v>114</v>
      </c>
      <c r="B8" s="1" t="s">
        <v>118</v>
      </c>
      <c r="C8" s="1">
        <v>15.9</v>
      </c>
      <c r="D8" s="1">
        <v>18.3</v>
      </c>
    </row>
    <row r="9">
      <c r="A9" s="1" t="s">
        <v>119</v>
      </c>
      <c r="B9" s="1" t="s">
        <v>115</v>
      </c>
      <c r="C9" s="1">
        <v>21.9</v>
      </c>
      <c r="D9" s="1">
        <v>18.9</v>
      </c>
    </row>
    <row r="10">
      <c r="A10" s="1" t="s">
        <v>119</v>
      </c>
      <c r="B10" s="1" t="s">
        <v>116</v>
      </c>
      <c r="C10" s="1">
        <v>39.1</v>
      </c>
      <c r="D10" s="1">
        <v>35.5</v>
      </c>
    </row>
    <row r="11">
      <c r="A11" s="1" t="s">
        <v>119</v>
      </c>
      <c r="B11" s="1" t="s">
        <v>117</v>
      </c>
      <c r="C11" s="1">
        <v>23.3</v>
      </c>
      <c r="D11" s="1">
        <v>28.2</v>
      </c>
    </row>
    <row r="12">
      <c r="A12" s="1" t="s">
        <v>119</v>
      </c>
      <c r="B12" s="1" t="s">
        <v>118</v>
      </c>
      <c r="C12" s="1">
        <v>15.7</v>
      </c>
      <c r="D12" s="1">
        <v>17.4</v>
      </c>
    </row>
    <row r="13">
      <c r="A13" s="1" t="s">
        <v>120</v>
      </c>
      <c r="B13" s="1" t="s">
        <v>115</v>
      </c>
      <c r="C13" s="1">
        <v>21.9</v>
      </c>
      <c r="D13" s="1">
        <v>19.5</v>
      </c>
    </row>
    <row r="14">
      <c r="A14" s="1" t="s">
        <v>120</v>
      </c>
      <c r="B14" s="1" t="s">
        <v>116</v>
      </c>
      <c r="C14" s="1">
        <v>38.4</v>
      </c>
      <c r="D14" s="1">
        <v>34.7</v>
      </c>
    </row>
    <row r="15">
      <c r="A15" s="1" t="s">
        <v>120</v>
      </c>
      <c r="B15" s="1" t="s">
        <v>117</v>
      </c>
      <c r="C15" s="1">
        <v>23.7</v>
      </c>
      <c r="D15" s="1">
        <v>26.6</v>
      </c>
    </row>
    <row r="16">
      <c r="A16" s="1" t="s">
        <v>120</v>
      </c>
      <c r="B16" s="1" t="s">
        <v>118</v>
      </c>
      <c r="C16" s="1">
        <v>16.0</v>
      </c>
      <c r="D16" s="1">
        <v>19.2</v>
      </c>
    </row>
    <row r="19">
      <c r="A19" s="1" t="s">
        <v>121</v>
      </c>
    </row>
    <row r="20">
      <c r="A20" s="3" t="s">
        <v>122</v>
      </c>
      <c r="B20" s="3" t="s">
        <v>101</v>
      </c>
      <c r="C20" s="3" t="s">
        <v>102</v>
      </c>
    </row>
    <row r="21">
      <c r="A21" s="1" t="s">
        <v>123</v>
      </c>
      <c r="B21" s="1">
        <v>60.9</v>
      </c>
      <c r="C21" s="1">
        <v>63.0</v>
      </c>
    </row>
    <row r="22">
      <c r="A22" s="1" t="s">
        <v>124</v>
      </c>
      <c r="B22" s="1">
        <v>23.1</v>
      </c>
      <c r="C22" s="1">
        <v>22.4</v>
      </c>
    </row>
    <row r="23">
      <c r="A23" s="1" t="s">
        <v>125</v>
      </c>
      <c r="B23" s="1">
        <v>6.8</v>
      </c>
      <c r="C23" s="1">
        <v>6.8</v>
      </c>
    </row>
    <row r="24">
      <c r="A24" s="1" t="s">
        <v>126</v>
      </c>
      <c r="B24" s="1">
        <v>9.2</v>
      </c>
      <c r="C24" s="1">
        <v>7.8</v>
      </c>
    </row>
    <row r="27">
      <c r="A27" s="1" t="s">
        <v>127</v>
      </c>
    </row>
    <row r="28">
      <c r="A28" s="3" t="s">
        <v>128</v>
      </c>
      <c r="B28" s="3" t="s">
        <v>101</v>
      </c>
      <c r="C28" s="3" t="s">
        <v>102</v>
      </c>
    </row>
    <row r="29">
      <c r="A29" s="1" t="s">
        <v>129</v>
      </c>
      <c r="B29" s="1">
        <v>35.9</v>
      </c>
      <c r="C29" s="1">
        <v>35.8</v>
      </c>
    </row>
    <row r="30">
      <c r="A30" s="1" t="s">
        <v>130</v>
      </c>
      <c r="B30" s="1">
        <v>48.0</v>
      </c>
      <c r="C30" s="1">
        <v>48.8</v>
      </c>
    </row>
    <row r="31">
      <c r="A31" s="1" t="s">
        <v>131</v>
      </c>
      <c r="B31" s="1">
        <v>12.6</v>
      </c>
      <c r="C31" s="1">
        <v>12.3</v>
      </c>
    </row>
    <row r="32">
      <c r="A32" s="1" t="s">
        <v>132</v>
      </c>
      <c r="B32" s="1">
        <v>3.5</v>
      </c>
      <c r="C32" s="1">
        <v>3.1</v>
      </c>
    </row>
    <row r="34">
      <c r="A34" s="1" t="s">
        <v>133</v>
      </c>
    </row>
  </sheetData>
  <hyperlinks>
    <hyperlink r:id="rId1" ref="A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1" t="s">
        <v>134</v>
      </c>
    </row>
    <row r="2">
      <c r="A2" s="2" t="s">
        <v>135</v>
      </c>
    </row>
    <row r="4">
      <c r="A4" s="3" t="s">
        <v>136</v>
      </c>
      <c r="B4" s="3" t="s">
        <v>137</v>
      </c>
      <c r="C4" s="3" t="s">
        <v>138</v>
      </c>
      <c r="D4" s="3" t="s">
        <v>139</v>
      </c>
      <c r="E4" s="3" t="s">
        <v>140</v>
      </c>
      <c r="F4" s="3" t="s">
        <v>141</v>
      </c>
      <c r="G4" s="3" t="s">
        <v>142</v>
      </c>
    </row>
    <row r="5">
      <c r="A5" s="1" t="s">
        <v>143</v>
      </c>
      <c r="B5" s="4">
        <v>241474.0</v>
      </c>
      <c r="C5" s="4">
        <v>197628.0</v>
      </c>
      <c r="D5" s="4">
        <v>43846.0</v>
      </c>
      <c r="E5" s="4">
        <v>297853.0</v>
      </c>
      <c r="F5" s="4">
        <v>243775.0</v>
      </c>
      <c r="G5" s="4">
        <v>54078.0</v>
      </c>
    </row>
    <row r="6">
      <c r="A6" s="1" t="s">
        <v>144</v>
      </c>
      <c r="B6" s="4">
        <v>37612.0</v>
      </c>
      <c r="C6" s="4">
        <v>30454.0</v>
      </c>
      <c r="D6" s="4">
        <v>7158.0</v>
      </c>
      <c r="E6" s="4">
        <v>21820.0</v>
      </c>
      <c r="F6" s="4">
        <v>17719.0</v>
      </c>
      <c r="G6" s="4">
        <v>4102.0</v>
      </c>
    </row>
    <row r="7">
      <c r="A7" s="1" t="s">
        <v>145</v>
      </c>
      <c r="B7" s="4">
        <v>24777.0</v>
      </c>
      <c r="C7" s="4">
        <v>19625.0</v>
      </c>
      <c r="D7" s="4">
        <v>5152.0</v>
      </c>
      <c r="E7" s="4">
        <v>15229.0</v>
      </c>
      <c r="F7" s="4">
        <v>12271.0</v>
      </c>
      <c r="G7" s="4">
        <v>2958.0</v>
      </c>
    </row>
    <row r="8">
      <c r="A8" s="1" t="s">
        <v>146</v>
      </c>
      <c r="B8" s="4">
        <v>12834.0</v>
      </c>
      <c r="C8" s="4">
        <v>10829.0</v>
      </c>
      <c r="D8" s="4">
        <v>2005.0</v>
      </c>
      <c r="E8" s="4">
        <v>6592.0</v>
      </c>
      <c r="F8" s="4">
        <v>5448.0</v>
      </c>
      <c r="G8" s="4">
        <v>1144.0</v>
      </c>
    </row>
    <row r="9">
      <c r="A9" s="1" t="s">
        <v>147</v>
      </c>
      <c r="B9" s="4">
        <v>203862.0</v>
      </c>
      <c r="C9" s="4">
        <v>167174.0</v>
      </c>
      <c r="D9" s="4">
        <v>36689.0</v>
      </c>
      <c r="E9" s="4">
        <v>276033.0</v>
      </c>
      <c r="F9" s="4">
        <v>226057.0</v>
      </c>
      <c r="G9" s="4">
        <v>49976.0</v>
      </c>
    </row>
    <row r="10">
      <c r="A10" s="1" t="s">
        <v>148</v>
      </c>
      <c r="B10" s="4">
        <v>132226.0</v>
      </c>
      <c r="C10" s="4">
        <v>105959.0</v>
      </c>
      <c r="D10" s="4">
        <v>26267.0</v>
      </c>
      <c r="E10" s="4">
        <v>183634.0</v>
      </c>
      <c r="F10" s="4">
        <v>146472.0</v>
      </c>
      <c r="G10" s="4">
        <v>37161.0</v>
      </c>
    </row>
    <row r="11">
      <c r="A11" s="1" t="s">
        <v>149</v>
      </c>
      <c r="B11" s="4">
        <v>71636.0</v>
      </c>
      <c r="C11" s="4">
        <v>61215.0</v>
      </c>
      <c r="D11" s="4">
        <v>10421.0</v>
      </c>
      <c r="E11" s="4">
        <v>92399.0</v>
      </c>
      <c r="F11" s="4">
        <v>79584.0</v>
      </c>
      <c r="G11" s="4">
        <v>12815.0</v>
      </c>
    </row>
    <row r="14">
      <c r="A14" s="1" t="s">
        <v>150</v>
      </c>
    </row>
    <row r="15">
      <c r="A15" s="3" t="s">
        <v>151</v>
      </c>
      <c r="B15" s="3" t="s">
        <v>137</v>
      </c>
      <c r="C15" s="3" t="s">
        <v>138</v>
      </c>
      <c r="D15" s="3" t="s">
        <v>139</v>
      </c>
      <c r="E15" s="3" t="s">
        <v>140</v>
      </c>
      <c r="F15" s="3" t="s">
        <v>141</v>
      </c>
      <c r="G15" s="3" t="s">
        <v>142</v>
      </c>
    </row>
    <row r="16">
      <c r="A16" s="1" t="s">
        <v>8</v>
      </c>
      <c r="B16" s="8">
        <v>2.45</v>
      </c>
      <c r="C16" s="8">
        <v>2.46</v>
      </c>
      <c r="D16" s="8">
        <v>2.36</v>
      </c>
      <c r="E16" s="8">
        <v>2.49</v>
      </c>
      <c r="F16" s="8">
        <v>2.46</v>
      </c>
      <c r="G16" s="8">
        <v>2.66</v>
      </c>
    </row>
    <row r="17">
      <c r="A17" s="1" t="s">
        <v>152</v>
      </c>
      <c r="B17" s="4">
        <v>84470.0</v>
      </c>
      <c r="C17" s="4">
        <v>72044.0</v>
      </c>
      <c r="D17" s="4">
        <v>12427.0</v>
      </c>
      <c r="E17" s="4">
        <v>98991.0</v>
      </c>
      <c r="F17" s="4">
        <v>85032.0</v>
      </c>
      <c r="G17" s="4">
        <v>13959.0</v>
      </c>
    </row>
    <row r="18">
      <c r="A18" s="1" t="s">
        <v>153</v>
      </c>
      <c r="B18" s="4">
        <v>206605.0</v>
      </c>
      <c r="C18" s="4">
        <v>177232.0</v>
      </c>
      <c r="D18" s="4">
        <v>29373.0</v>
      </c>
      <c r="E18" s="4">
        <v>246690.0</v>
      </c>
      <c r="F18" s="4">
        <v>209505.0</v>
      </c>
      <c r="G18" s="4">
        <v>37185.0</v>
      </c>
    </row>
    <row r="19">
      <c r="B19" s="4"/>
      <c r="C19" s="4"/>
      <c r="D19" s="4"/>
      <c r="E19" s="4"/>
      <c r="F19" s="4"/>
      <c r="G19" s="4"/>
    </row>
    <row r="20">
      <c r="B20" s="4"/>
      <c r="C20" s="4"/>
      <c r="D20" s="4"/>
      <c r="E20" s="4"/>
      <c r="F20" s="4"/>
      <c r="G20" s="4"/>
    </row>
    <row r="21">
      <c r="B21" s="4"/>
      <c r="C21" s="4"/>
      <c r="D21" s="4"/>
      <c r="E21" s="4"/>
      <c r="F21" s="4"/>
      <c r="G21" s="4"/>
    </row>
    <row r="22">
      <c r="B22" s="4"/>
      <c r="C22" s="4"/>
      <c r="D22" s="4"/>
      <c r="E22" s="4"/>
      <c r="F22" s="4"/>
      <c r="G22" s="4"/>
    </row>
  </sheetData>
  <hyperlinks>
    <hyperlink r:id="rId1" ref="A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154</v>
      </c>
    </row>
    <row r="2">
      <c r="A2" s="2" t="s">
        <v>155</v>
      </c>
    </row>
    <row r="4">
      <c r="A4" s="3" t="s">
        <v>156</v>
      </c>
      <c r="B4" s="3">
        <v>2019.0</v>
      </c>
      <c r="C4" s="3">
        <v>2020.0</v>
      </c>
      <c r="D4" s="3">
        <v>2021.0</v>
      </c>
      <c r="E4" s="3">
        <v>2022.0</v>
      </c>
      <c r="F4" s="3">
        <v>2023.0</v>
      </c>
      <c r="G4" s="3">
        <v>2024.0</v>
      </c>
    </row>
    <row r="5">
      <c r="A5" s="1" t="s">
        <v>157</v>
      </c>
      <c r="B5" s="4">
        <v>1.7033066E7</v>
      </c>
      <c r="C5" s="4">
        <v>2871340.0</v>
      </c>
      <c r="D5" s="4">
        <v>16729.0</v>
      </c>
      <c r="E5" s="4">
        <v>8399088.0</v>
      </c>
      <c r="F5" s="4">
        <v>1.4828553E7</v>
      </c>
      <c r="G5" s="4">
        <v>1.885568E7</v>
      </c>
    </row>
    <row r="6">
      <c r="A6" s="1" t="s">
        <v>158</v>
      </c>
      <c r="B6" s="4">
        <v>3882666.0</v>
      </c>
      <c r="C6" s="4">
        <v>762854.0</v>
      </c>
      <c r="D6" s="4">
        <v>13161.0</v>
      </c>
      <c r="E6" s="4">
        <v>1601156.0</v>
      </c>
      <c r="F6" s="4">
        <v>3479392.0</v>
      </c>
      <c r="G6" s="4">
        <v>4145127.0</v>
      </c>
    </row>
    <row r="7">
      <c r="A7" s="1" t="s">
        <v>159</v>
      </c>
      <c r="B7" s="4">
        <v>3330129.0</v>
      </c>
      <c r="C7" s="4">
        <v>428642.0</v>
      </c>
      <c r="D7" s="4">
        <v>7729.0</v>
      </c>
      <c r="E7" s="4">
        <v>260079.0</v>
      </c>
      <c r="F7" s="4">
        <v>1613312.0</v>
      </c>
      <c r="G7" s="4">
        <v>3725894.0</v>
      </c>
    </row>
    <row r="8">
      <c r="A8" s="1" t="s">
        <v>160</v>
      </c>
      <c r="B8" s="4">
        <v>2223243.0</v>
      </c>
      <c r="C8" s="4">
        <v>545803.0</v>
      </c>
      <c r="D8" s="4">
        <v>318245.0</v>
      </c>
      <c r="E8" s="4">
        <v>1185459.0</v>
      </c>
      <c r="F8" s="4">
        <v>2300158.0</v>
      </c>
      <c r="G8" s="4">
        <v>2268182.0</v>
      </c>
    </row>
    <row r="9">
      <c r="A9" s="1" t="s">
        <v>161</v>
      </c>
      <c r="B9" s="4">
        <v>1621344.0</v>
      </c>
      <c r="C9" s="4">
        <v>190241.0</v>
      </c>
      <c r="D9" s="4">
        <v>4039.0</v>
      </c>
      <c r="E9" s="4">
        <v>404087.0</v>
      </c>
      <c r="F9" s="4">
        <v>1116211.0</v>
      </c>
      <c r="G9" s="4">
        <v>1732119.0</v>
      </c>
    </row>
    <row r="10">
      <c r="A10" s="1" t="s">
        <v>162</v>
      </c>
      <c r="B10" s="4">
        <v>846874.0</v>
      </c>
      <c r="C10" s="4">
        <v>175104.0</v>
      </c>
      <c r="D10" s="4">
        <v>3920.0</v>
      </c>
      <c r="E10" s="4">
        <v>360256.0</v>
      </c>
      <c r="F10" s="4">
        <v>773221.0</v>
      </c>
      <c r="G10" s="4">
        <v>1365387.0</v>
      </c>
    </row>
    <row r="11">
      <c r="A11" s="1" t="s">
        <v>163</v>
      </c>
      <c r="B11" s="4">
        <v>576107.0</v>
      </c>
      <c r="C11" s="4">
        <v>87950.0</v>
      </c>
      <c r="D11" s="4">
        <v>2842.0</v>
      </c>
      <c r="E11" s="4">
        <v>203989.0</v>
      </c>
      <c r="F11" s="4">
        <v>461787.0</v>
      </c>
      <c r="G11" s="4">
        <v>571533.0</v>
      </c>
    </row>
    <row r="12">
      <c r="A12" s="1" t="s">
        <v>164</v>
      </c>
      <c r="B12" s="4">
        <v>764882.0</v>
      </c>
      <c r="C12" s="4">
        <v>137924.0</v>
      </c>
      <c r="D12" s="4">
        <v>3033.0</v>
      </c>
      <c r="E12" s="4">
        <v>175553.0</v>
      </c>
      <c r="F12" s="4">
        <v>465617.0</v>
      </c>
      <c r="G12" s="4">
        <v>553165.0</v>
      </c>
    </row>
    <row r="13">
      <c r="A13" s="1" t="s">
        <v>165</v>
      </c>
      <c r="B13" s="4">
        <v>421267.0</v>
      </c>
      <c r="C13" s="4">
        <v>84319.0</v>
      </c>
      <c r="D13" s="4">
        <v>1324.0</v>
      </c>
      <c r="E13" s="4">
        <v>174365.0</v>
      </c>
      <c r="F13" s="4">
        <v>400909.0</v>
      </c>
      <c r="G13" s="4">
        <v>447785.0</v>
      </c>
    </row>
    <row r="14">
      <c r="A14" s="1" t="s">
        <v>166</v>
      </c>
      <c r="B14" s="4">
        <v>419553.0</v>
      </c>
      <c r="C14" s="4">
        <v>66165.0</v>
      </c>
      <c r="D14" s="4">
        <v>565.0</v>
      </c>
      <c r="E14" s="4">
        <v>55762.0</v>
      </c>
      <c r="F14" s="4">
        <v>311437.0</v>
      </c>
      <c r="G14" s="4">
        <v>423117.0</v>
      </c>
    </row>
    <row r="15">
      <c r="A15" s="1" t="s">
        <v>167</v>
      </c>
      <c r="B15" s="4">
        <v>391002.0</v>
      </c>
      <c r="C15" s="4">
        <v>72274.0</v>
      </c>
      <c r="D15" s="4">
        <v>2702.0</v>
      </c>
      <c r="E15" s="4">
        <v>150903.0</v>
      </c>
      <c r="F15" s="4">
        <v>306926.0</v>
      </c>
      <c r="G15" s="4">
        <v>390035.0</v>
      </c>
    </row>
    <row r="16">
      <c r="A16" s="1" t="s">
        <v>168</v>
      </c>
      <c r="B16" s="4">
        <v>507992.0</v>
      </c>
      <c r="C16" s="4">
        <v>89038.0</v>
      </c>
      <c r="D16" s="4">
        <v>3116.0</v>
      </c>
      <c r="E16" s="4">
        <v>100769.0</v>
      </c>
      <c r="F16" s="4">
        <v>277559.0</v>
      </c>
      <c r="G16" s="4">
        <v>367182.0</v>
      </c>
    </row>
    <row r="17">
      <c r="A17" s="1" t="s">
        <v>169</v>
      </c>
      <c r="B17" s="4">
        <v>426043.0</v>
      </c>
      <c r="C17" s="4">
        <v>68708.0</v>
      </c>
      <c r="D17" s="4">
        <v>586.0</v>
      </c>
      <c r="E17" s="4">
        <v>185333.0</v>
      </c>
      <c r="F17" s="4">
        <v>374181.0</v>
      </c>
      <c r="G17" s="4">
        <v>366525.0</v>
      </c>
    </row>
    <row r="18">
      <c r="A18" s="1" t="s">
        <v>170</v>
      </c>
      <c r="B18" s="4">
        <v>299490.0</v>
      </c>
      <c r="C18" s="4">
        <v>54149.0</v>
      </c>
      <c r="D18" s="4">
        <v>2036.0</v>
      </c>
      <c r="E18" s="4">
        <v>119606.0</v>
      </c>
      <c r="F18" s="4">
        <v>257533.0</v>
      </c>
      <c r="G18" s="4">
        <v>304880.0</v>
      </c>
    </row>
    <row r="19">
      <c r="A19" s="1" t="s">
        <v>171</v>
      </c>
      <c r="B19" s="4">
        <v>159324.0</v>
      </c>
      <c r="C19" s="4">
        <v>31792.0</v>
      </c>
      <c r="D19" s="4">
        <v>845.0</v>
      </c>
      <c r="E19" s="4">
        <v>63433.0</v>
      </c>
      <c r="F19" s="4">
        <v>132311.0</v>
      </c>
      <c r="G19" s="4">
        <v>183872.0</v>
      </c>
    </row>
    <row r="20">
      <c r="A20" s="1" t="s">
        <v>172</v>
      </c>
      <c r="B20" s="4">
        <v>2142643.0</v>
      </c>
      <c r="C20" s="4">
        <v>435075.0</v>
      </c>
      <c r="D20" s="4">
        <v>18993.0</v>
      </c>
      <c r="E20" s="4">
        <v>827578.0</v>
      </c>
      <c r="F20" s="4">
        <v>1865201.0</v>
      </c>
      <c r="G20" s="4">
        <v>2261002.0</v>
      </c>
    </row>
    <row r="21">
      <c r="A21" s="3" t="s">
        <v>82</v>
      </c>
      <c r="B21" s="4">
        <v>3.5045625E7</v>
      </c>
      <c r="C21" s="4">
        <v>6101378.0</v>
      </c>
      <c r="D21" s="4">
        <v>399865.0</v>
      </c>
      <c r="E21" s="4">
        <v>1.4267416E7</v>
      </c>
      <c r="F21" s="4">
        <v>2.8964308E7</v>
      </c>
      <c r="G21" s="4">
        <v>3.7961485E7</v>
      </c>
    </row>
  </sheetData>
  <hyperlinks>
    <hyperlink r:id="rId1" ref="A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1" t="s">
        <v>173</v>
      </c>
    </row>
    <row r="2">
      <c r="A2" s="2" t="s">
        <v>174</v>
      </c>
    </row>
    <row r="4">
      <c r="A4" s="3" t="s">
        <v>2</v>
      </c>
      <c r="B4" s="3">
        <v>2019.0</v>
      </c>
      <c r="C4" s="3">
        <v>2020.0</v>
      </c>
      <c r="D4" s="3">
        <v>2021.0</v>
      </c>
      <c r="E4" s="3">
        <v>2022.0</v>
      </c>
      <c r="F4" s="3">
        <v>2023.0</v>
      </c>
      <c r="G4" s="3">
        <v>2024.0</v>
      </c>
    </row>
    <row r="5">
      <c r="A5" s="1" t="s">
        <v>175</v>
      </c>
      <c r="B5" s="1">
        <v>5382.0</v>
      </c>
      <c r="C5" s="1">
        <v>5339.0</v>
      </c>
      <c r="D5" s="1">
        <v>5170.0</v>
      </c>
      <c r="E5" s="1">
        <v>5052.0</v>
      </c>
      <c r="F5" s="1">
        <v>5204.0</v>
      </c>
      <c r="G5" s="1">
        <v>5277.0</v>
      </c>
    </row>
    <row r="6">
      <c r="A6" s="1" t="s">
        <v>176</v>
      </c>
      <c r="B6" s="1">
        <v>340547.0</v>
      </c>
      <c r="C6" s="1">
        <v>332817.0</v>
      </c>
      <c r="D6" s="1">
        <v>323491.0</v>
      </c>
      <c r="E6" s="1">
        <v>322700.0</v>
      </c>
      <c r="F6" s="1">
        <v>333780.0</v>
      </c>
      <c r="G6" s="1">
        <v>343866.0</v>
      </c>
    </row>
    <row r="7">
      <c r="A7" s="1" t="s">
        <v>177</v>
      </c>
      <c r="B7" s="1">
        <v>7.9929203E7</v>
      </c>
      <c r="C7" s="1">
        <v>3.5405021E7</v>
      </c>
      <c r="D7" s="1">
        <v>2.0060819E7</v>
      </c>
      <c r="E7" s="1">
        <v>7.3947777E7</v>
      </c>
      <c r="F7" s="1">
        <v>9.3258798E7</v>
      </c>
      <c r="G7" s="1">
        <v>1.02643616E8</v>
      </c>
    </row>
    <row r="8">
      <c r="A8" s="1" t="s">
        <v>178</v>
      </c>
      <c r="B8" s="1">
        <v>5.109301E7</v>
      </c>
      <c r="C8" s="1">
        <v>3.0703994E7</v>
      </c>
      <c r="D8" s="1">
        <v>1.9872079E7</v>
      </c>
      <c r="E8" s="1">
        <v>6.0048624E7</v>
      </c>
      <c r="F8" s="1">
        <v>6.4299777E7</v>
      </c>
      <c r="G8" s="1">
        <v>6.8049411E7</v>
      </c>
    </row>
    <row r="9">
      <c r="A9" s="1" t="s">
        <v>179</v>
      </c>
      <c r="B9" s="1">
        <v>2.8836193E7</v>
      </c>
      <c r="C9" s="1">
        <v>4701027.0</v>
      </c>
      <c r="D9" s="1">
        <v>188740.0</v>
      </c>
      <c r="E9" s="1">
        <v>1.3899153E7</v>
      </c>
      <c r="F9" s="1">
        <v>2.8959021E7</v>
      </c>
      <c r="G9" s="1">
        <v>3.4594205E7</v>
      </c>
    </row>
    <row r="10">
      <c r="A10" s="1" t="s">
        <v>8</v>
      </c>
      <c r="B10" s="1">
        <v>7.4</v>
      </c>
      <c r="C10" s="1">
        <v>4.1</v>
      </c>
      <c r="E10" s="1">
        <v>3.8</v>
      </c>
      <c r="F10" s="1">
        <v>4.5</v>
      </c>
      <c r="G10" s="1">
        <v>5.1</v>
      </c>
    </row>
    <row r="11">
      <c r="A11" s="1" t="s">
        <v>180</v>
      </c>
      <c r="B11" s="1">
        <v>58.8</v>
      </c>
      <c r="C11" s="1">
        <v>30.9</v>
      </c>
      <c r="D11" s="1">
        <v>28.2</v>
      </c>
      <c r="E11" s="1">
        <v>46.7</v>
      </c>
      <c r="F11" s="1">
        <v>52.9</v>
      </c>
      <c r="G11" s="1">
        <v>54.9</v>
      </c>
    </row>
  </sheetData>
  <hyperlinks>
    <hyperlink r:id="rId1" ref="A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1" t="s">
        <v>181</v>
      </c>
    </row>
    <row r="2">
      <c r="A2" s="2" t="s">
        <v>182</v>
      </c>
    </row>
    <row r="4">
      <c r="A4" s="3" t="s">
        <v>183</v>
      </c>
      <c r="B4" s="3">
        <v>2018.0</v>
      </c>
      <c r="C4" s="3">
        <v>2019.0</v>
      </c>
      <c r="D4" s="3">
        <v>2020.0</v>
      </c>
      <c r="E4" s="3">
        <v>2021.0</v>
      </c>
      <c r="F4" s="3">
        <v>2022.0</v>
      </c>
      <c r="G4" s="3">
        <v>2023.0</v>
      </c>
      <c r="H4" s="3">
        <v>2024.0</v>
      </c>
    </row>
    <row r="5">
      <c r="A5" s="1" t="s">
        <v>184</v>
      </c>
      <c r="B5" s="7">
        <v>21622.8</v>
      </c>
      <c r="C5" s="7">
        <v>22007.3</v>
      </c>
      <c r="D5" s="7">
        <v>3144.0</v>
      </c>
      <c r="E5" s="7">
        <v>64.8</v>
      </c>
      <c r="F5" s="7">
        <v>5234.0</v>
      </c>
      <c r="G5" s="7">
        <v>14369.0</v>
      </c>
      <c r="H5" s="7">
        <v>19753.0</v>
      </c>
    </row>
    <row r="6">
      <c r="A6" s="1" t="s">
        <v>185</v>
      </c>
      <c r="B6" s="7">
        <v>11784.7</v>
      </c>
      <c r="C6" s="7">
        <v>12019.2</v>
      </c>
      <c r="D6" s="7">
        <v>2011.2</v>
      </c>
      <c r="E6" s="7">
        <v>78.0</v>
      </c>
      <c r="F6" s="7">
        <v>5603.0</v>
      </c>
      <c r="G6" s="7">
        <v>10575.0</v>
      </c>
      <c r="H6" s="7">
        <v>17103.0</v>
      </c>
    </row>
    <row r="7">
      <c r="A7" s="1" t="s">
        <v>186</v>
      </c>
      <c r="B7" s="7">
        <v>15188.0</v>
      </c>
      <c r="C7" s="7">
        <v>16023.7</v>
      </c>
      <c r="D7" s="7">
        <v>2413.0</v>
      </c>
      <c r="E7" s="7">
        <v>178.1</v>
      </c>
      <c r="F7" s="7">
        <v>7161.0</v>
      </c>
      <c r="G7" s="7">
        <v>16291.0</v>
      </c>
      <c r="H7" s="7">
        <v>20449.0</v>
      </c>
    </row>
    <row r="8">
      <c r="A8" s="1" t="s">
        <v>187</v>
      </c>
      <c r="B8" s="7">
        <v>3869.6</v>
      </c>
      <c r="C8" s="7">
        <v>4047.1</v>
      </c>
      <c r="D8" s="7">
        <v>582.5</v>
      </c>
      <c r="E8" s="7">
        <v>0.5</v>
      </c>
      <c r="F8" s="7">
        <v>740.0</v>
      </c>
      <c r="G8" s="7">
        <v>3295.0</v>
      </c>
      <c r="H8" s="7">
        <v>4303.0</v>
      </c>
    </row>
    <row r="9">
      <c r="A9" s="1" t="s">
        <v>188</v>
      </c>
      <c r="B9" s="7">
        <v>2366.3</v>
      </c>
      <c r="C9" s="7">
        <v>2526.7</v>
      </c>
      <c r="D9" s="7">
        <v>395.1</v>
      </c>
      <c r="E9" s="7">
        <v>9.8</v>
      </c>
      <c r="F9" s="7">
        <v>1755.0</v>
      </c>
      <c r="G9" s="7">
        <v>2845.0</v>
      </c>
      <c r="H9" s="7">
        <v>2892.0</v>
      </c>
    </row>
    <row r="10">
      <c r="A10" s="1" t="s">
        <v>189</v>
      </c>
      <c r="B10" s="7">
        <v>615.6</v>
      </c>
      <c r="C10" s="7">
        <v>467.2</v>
      </c>
      <c r="D10" s="7">
        <v>24.0</v>
      </c>
      <c r="E10" s="7">
        <v>0.1</v>
      </c>
      <c r="F10" s="7">
        <v>326.0</v>
      </c>
      <c r="G10" s="7">
        <v>749.0</v>
      </c>
      <c r="H10" s="7">
        <v>1076.0</v>
      </c>
    </row>
    <row r="11">
      <c r="A11" s="1" t="s">
        <v>190</v>
      </c>
      <c r="B11" s="7">
        <v>29373.7</v>
      </c>
      <c r="C11" s="7">
        <v>29924.4</v>
      </c>
      <c r="D11" s="7">
        <v>4717.9</v>
      </c>
      <c r="E11" s="7">
        <v>44.4</v>
      </c>
      <c r="F11" s="7">
        <v>11289.0</v>
      </c>
      <c r="G11" s="7">
        <v>25387.0</v>
      </c>
      <c r="H11" s="7">
        <v>38672.0</v>
      </c>
    </row>
    <row r="12">
      <c r="A12" s="1" t="s">
        <v>191</v>
      </c>
      <c r="B12" s="7">
        <v>2861.7</v>
      </c>
      <c r="C12" s="7">
        <v>2405.3</v>
      </c>
      <c r="D12" s="7">
        <v>406.0</v>
      </c>
      <c r="E12" s="7">
        <v>94.8</v>
      </c>
      <c r="F12" s="7">
        <v>1703.0</v>
      </c>
      <c r="G12" s="7">
        <v>2315.0</v>
      </c>
      <c r="H12" s="7">
        <v>2781.0</v>
      </c>
    </row>
    <row r="13">
      <c r="A13" s="1" t="s">
        <v>82</v>
      </c>
      <c r="B13" s="9">
        <v>87682.4</v>
      </c>
      <c r="C13" s="9">
        <v>89421.0</v>
      </c>
      <c r="D13" s="9">
        <v>13693.7</v>
      </c>
      <c r="E13" s="9">
        <v>470.0</v>
      </c>
      <c r="F13" s="9">
        <v>33811.0</v>
      </c>
      <c r="G13" s="9">
        <v>75826.0</v>
      </c>
      <c r="H13" s="9">
        <v>107029.0</v>
      </c>
    </row>
    <row r="15">
      <c r="A15" s="1" t="s">
        <v>192</v>
      </c>
    </row>
    <row r="19">
      <c r="B19" s="10"/>
      <c r="C19" s="10"/>
      <c r="D19" s="10"/>
      <c r="E19" s="11"/>
      <c r="F19" s="10"/>
      <c r="G19" s="10"/>
      <c r="H19" s="10"/>
    </row>
    <row r="20">
      <c r="B20" s="10"/>
      <c r="C20" s="10"/>
      <c r="D20" s="10"/>
      <c r="E20" s="11"/>
      <c r="F20" s="10"/>
      <c r="G20" s="10"/>
      <c r="H20" s="10"/>
    </row>
    <row r="21">
      <c r="B21" s="10"/>
      <c r="C21" s="10"/>
      <c r="D21" s="10"/>
      <c r="E21" s="11"/>
      <c r="F21" s="10"/>
      <c r="G21" s="10"/>
      <c r="H21" s="10"/>
    </row>
    <row r="22">
      <c r="B22" s="10"/>
      <c r="C22" s="10"/>
      <c r="D22" s="11"/>
      <c r="E22" s="11"/>
      <c r="F22" s="11"/>
      <c r="G22" s="10"/>
      <c r="H22" s="10"/>
    </row>
    <row r="23">
      <c r="B23" s="10"/>
      <c r="C23" s="10"/>
      <c r="D23" s="11"/>
      <c r="E23" s="11"/>
      <c r="F23" s="10"/>
      <c r="G23" s="10"/>
      <c r="H23" s="10"/>
    </row>
    <row r="24">
      <c r="B24" s="11"/>
      <c r="C24" s="11"/>
      <c r="D24" s="11"/>
      <c r="E24" s="11"/>
      <c r="F24" s="11"/>
      <c r="G24" s="11"/>
      <c r="H24" s="10"/>
    </row>
    <row r="25">
      <c r="B25" s="10"/>
      <c r="C25" s="10"/>
      <c r="D25" s="10"/>
      <c r="E25" s="11"/>
      <c r="F25" s="10"/>
      <c r="G25" s="10"/>
      <c r="H25" s="10"/>
    </row>
    <row r="26">
      <c r="B26" s="10"/>
      <c r="C26" s="10"/>
      <c r="D26" s="11"/>
      <c r="E26" s="11"/>
      <c r="F26" s="10"/>
      <c r="G26" s="10"/>
      <c r="H26" s="10"/>
    </row>
    <row r="27">
      <c r="B27" s="12"/>
      <c r="C27" s="12"/>
      <c r="D27" s="12"/>
      <c r="E27" s="13"/>
      <c r="F27" s="12"/>
      <c r="G27" s="12"/>
      <c r="H27" s="12"/>
    </row>
  </sheetData>
  <hyperlinks>
    <hyperlink r:id="rId1" ref="A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</cols>
  <sheetData>
    <row r="1">
      <c r="A1" s="1" t="s">
        <v>193</v>
      </c>
    </row>
    <row r="2">
      <c r="A2" s="2" t="s">
        <v>194</v>
      </c>
    </row>
    <row r="4">
      <c r="A4" s="3" t="s">
        <v>183</v>
      </c>
      <c r="B4" s="3">
        <v>2018.0</v>
      </c>
      <c r="C4" s="3">
        <v>2019.0</v>
      </c>
      <c r="D4" s="3">
        <v>2020.0</v>
      </c>
      <c r="E4" s="3">
        <v>2021.0</v>
      </c>
      <c r="F4" s="3">
        <v>2022.0</v>
      </c>
      <c r="G4" s="3">
        <v>2023.0</v>
      </c>
      <c r="H4" s="3">
        <v>2024.0</v>
      </c>
      <c r="M4" s="10"/>
    </row>
    <row r="5">
      <c r="A5" s="1" t="s">
        <v>184</v>
      </c>
      <c r="B5" s="7">
        <v>9624.1</v>
      </c>
      <c r="C5" s="7">
        <v>10080.0</v>
      </c>
      <c r="D5" s="7">
        <v>3747.6</v>
      </c>
      <c r="E5" s="7">
        <v>3076.1</v>
      </c>
      <c r="F5" s="7">
        <v>4792.0</v>
      </c>
      <c r="G5" s="7">
        <v>8743.0</v>
      </c>
      <c r="H5" s="7">
        <v>9229.0</v>
      </c>
      <c r="J5" s="10"/>
      <c r="K5" s="10"/>
      <c r="L5" s="10"/>
      <c r="M5" s="14"/>
      <c r="N5" s="10"/>
      <c r="O5" s="10"/>
      <c r="P5" s="10"/>
    </row>
    <row r="6">
      <c r="A6" s="1" t="s">
        <v>185</v>
      </c>
      <c r="B6" s="7">
        <v>5470.1</v>
      </c>
      <c r="C6" s="7">
        <v>5824.0</v>
      </c>
      <c r="D6" s="7">
        <v>2213.4</v>
      </c>
      <c r="E6" s="7">
        <v>2066.5</v>
      </c>
      <c r="F6" s="7">
        <v>3757.0</v>
      </c>
      <c r="G6" s="7">
        <v>6308.0</v>
      </c>
      <c r="H6" s="7">
        <v>6014.0</v>
      </c>
      <c r="J6" s="14"/>
      <c r="K6" s="14"/>
      <c r="L6" s="14"/>
      <c r="M6" s="10"/>
      <c r="N6" s="14"/>
      <c r="O6" s="14"/>
      <c r="P6" s="14"/>
    </row>
    <row r="7">
      <c r="A7" s="1" t="s">
        <v>186</v>
      </c>
      <c r="B7" s="7">
        <v>13000.8</v>
      </c>
      <c r="C7" s="7">
        <v>14224.0</v>
      </c>
      <c r="D7" s="7">
        <v>5927.5</v>
      </c>
      <c r="E7" s="7">
        <v>2767.7</v>
      </c>
      <c r="F7" s="7">
        <v>6974.0</v>
      </c>
      <c r="G7" s="7">
        <v>9661.0</v>
      </c>
      <c r="H7" s="7">
        <v>11861.0</v>
      </c>
      <c r="J7" s="10"/>
      <c r="K7" s="10"/>
      <c r="L7" s="10"/>
      <c r="M7" s="14"/>
      <c r="N7" s="10"/>
      <c r="O7" s="10"/>
      <c r="P7" s="10"/>
    </row>
    <row r="8">
      <c r="A8" s="1" t="s">
        <v>187</v>
      </c>
      <c r="B8" s="7">
        <v>1451.8</v>
      </c>
      <c r="C8" s="7">
        <v>1568.0</v>
      </c>
      <c r="D8" s="7">
        <v>575.8</v>
      </c>
      <c r="E8" s="7">
        <v>101.8</v>
      </c>
      <c r="F8" s="7">
        <v>787.0</v>
      </c>
      <c r="G8" s="7">
        <v>1437.0</v>
      </c>
      <c r="H8" s="7">
        <v>1545.0</v>
      </c>
      <c r="J8" s="14"/>
      <c r="K8" s="14"/>
      <c r="L8" s="14"/>
      <c r="M8" s="14"/>
      <c r="N8" s="14"/>
      <c r="O8" s="14"/>
      <c r="P8" s="14"/>
    </row>
    <row r="9">
      <c r="A9" s="1" t="s">
        <v>188</v>
      </c>
      <c r="B9" s="7">
        <v>1275.0</v>
      </c>
      <c r="C9" s="7">
        <v>1568.0</v>
      </c>
      <c r="D9" s="7">
        <v>592.3</v>
      </c>
      <c r="E9" s="7">
        <v>92.5</v>
      </c>
      <c r="F9" s="7">
        <v>472.0</v>
      </c>
      <c r="G9" s="7">
        <v>798.0</v>
      </c>
      <c r="H9" s="7">
        <v>835.0</v>
      </c>
      <c r="J9" s="10"/>
      <c r="K9" s="10"/>
      <c r="L9" s="10"/>
      <c r="M9" s="10"/>
      <c r="N9" s="10"/>
      <c r="O9" s="10"/>
      <c r="P9" s="10"/>
    </row>
    <row r="10">
      <c r="A10" s="1" t="s">
        <v>190</v>
      </c>
      <c r="B10" s="7">
        <v>9731.1</v>
      </c>
      <c r="C10" s="7">
        <v>10886.4</v>
      </c>
      <c r="D10" s="7">
        <v>3675.3</v>
      </c>
      <c r="E10" s="7">
        <v>1850.6</v>
      </c>
      <c r="F10" s="7">
        <v>5152.0</v>
      </c>
      <c r="G10" s="7">
        <v>12056.0</v>
      </c>
      <c r="H10" s="7">
        <v>11485.0</v>
      </c>
      <c r="J10" s="14"/>
      <c r="K10" s="14"/>
      <c r="L10" s="14"/>
      <c r="M10" s="14"/>
      <c r="N10" s="14"/>
      <c r="O10" s="14"/>
      <c r="P10" s="14"/>
    </row>
    <row r="11">
      <c r="A11" s="1" t="s">
        <v>191</v>
      </c>
      <c r="B11" s="7">
        <v>575.8</v>
      </c>
      <c r="C11" s="7">
        <v>649.6</v>
      </c>
      <c r="D11" s="7">
        <v>487.3</v>
      </c>
      <c r="E11" s="7">
        <v>325.9</v>
      </c>
      <c r="F11" s="7">
        <v>562.0</v>
      </c>
      <c r="G11" s="7">
        <v>918.0</v>
      </c>
      <c r="H11" s="7">
        <v>794.0</v>
      </c>
      <c r="J11" s="10"/>
      <c r="K11" s="10"/>
      <c r="L11" s="11"/>
      <c r="M11" s="11"/>
      <c r="N11" s="11"/>
      <c r="O11" s="10"/>
      <c r="P11" s="10"/>
    </row>
    <row r="12">
      <c r="A12" s="1" t="s">
        <v>82</v>
      </c>
      <c r="B12" s="7">
        <f t="shared" ref="B12:H12" si="1">SUM(B5:B11)</f>
        <v>41128.7</v>
      </c>
      <c r="C12" s="7">
        <f t="shared" si="1"/>
        <v>44800</v>
      </c>
      <c r="D12" s="7">
        <f t="shared" si="1"/>
        <v>17219.2</v>
      </c>
      <c r="E12" s="7">
        <f t="shared" si="1"/>
        <v>10281.1</v>
      </c>
      <c r="F12" s="7">
        <f t="shared" si="1"/>
        <v>22496</v>
      </c>
      <c r="G12" s="7">
        <f t="shared" si="1"/>
        <v>39921</v>
      </c>
      <c r="H12" s="7">
        <f t="shared" si="1"/>
        <v>41763</v>
      </c>
      <c r="J12" s="14"/>
      <c r="K12" s="14"/>
      <c r="L12" s="14"/>
      <c r="M12" s="14"/>
      <c r="N12" s="14"/>
      <c r="O12" s="14"/>
      <c r="P12" s="14"/>
    </row>
    <row r="13">
      <c r="J13" s="10"/>
      <c r="K13" s="10"/>
      <c r="L13" s="11"/>
      <c r="M13" s="11"/>
      <c r="N13" s="11"/>
      <c r="O13" s="11"/>
      <c r="P13" s="11"/>
    </row>
    <row r="14">
      <c r="A14" s="1" t="s">
        <v>195</v>
      </c>
      <c r="J14" s="14"/>
      <c r="K14" s="14"/>
      <c r="L14" s="14"/>
      <c r="M14" s="14"/>
      <c r="N14" s="14"/>
      <c r="O14" s="14"/>
      <c r="P14" s="14"/>
    </row>
    <row r="15">
      <c r="J15" s="10"/>
      <c r="K15" s="10"/>
      <c r="L15" s="10"/>
      <c r="M15" s="10"/>
      <c r="N15" s="10"/>
      <c r="O15" s="10"/>
      <c r="P15" s="10"/>
    </row>
    <row r="16">
      <c r="J16" s="14"/>
      <c r="K16" s="14"/>
      <c r="L16" s="14"/>
      <c r="M16" s="14"/>
      <c r="N16" s="14"/>
      <c r="O16" s="14"/>
      <c r="P16" s="14"/>
    </row>
    <row r="17">
      <c r="J17" s="11"/>
      <c r="K17" s="11"/>
      <c r="L17" s="11"/>
      <c r="M17" s="11"/>
      <c r="N17" s="11"/>
      <c r="O17" s="11"/>
      <c r="P17" s="11"/>
    </row>
    <row r="18">
      <c r="J18" s="14"/>
      <c r="K18" s="14"/>
      <c r="L18" s="14"/>
      <c r="M18" s="14"/>
      <c r="N18" s="14"/>
      <c r="O18" s="14"/>
      <c r="P18" s="14"/>
    </row>
    <row r="19">
      <c r="J19" s="12"/>
      <c r="K19" s="12"/>
      <c r="L19" s="12"/>
      <c r="M19" s="12"/>
      <c r="N19" s="12"/>
      <c r="O19" s="12"/>
      <c r="P19" s="12"/>
    </row>
  </sheetData>
  <hyperlinks>
    <hyperlink r:id="rId1" ref="A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</cols>
  <sheetData>
    <row r="1">
      <c r="A1" s="1" t="s">
        <v>196</v>
      </c>
    </row>
    <row r="2">
      <c r="A2" s="2" t="s">
        <v>197</v>
      </c>
    </row>
    <row r="4">
      <c r="A4" s="3" t="s">
        <v>198</v>
      </c>
      <c r="B4" s="3">
        <v>2018.0</v>
      </c>
      <c r="C4" s="3">
        <v>2019.0</v>
      </c>
      <c r="D4" s="3">
        <v>2020.0</v>
      </c>
      <c r="E4" s="3">
        <v>2021.0</v>
      </c>
      <c r="F4" s="3">
        <v>2022.0</v>
      </c>
      <c r="G4" s="3">
        <v>2023.0</v>
      </c>
      <c r="H4" s="3" t="s">
        <v>199</v>
      </c>
    </row>
    <row r="5">
      <c r="A5" s="1" t="s">
        <v>184</v>
      </c>
      <c r="B5" s="4">
        <v>24733.1</v>
      </c>
      <c r="C5" s="4">
        <v>26406.8</v>
      </c>
      <c r="D5" s="4">
        <v>12169.1</v>
      </c>
      <c r="E5" s="4">
        <v>10054.0</v>
      </c>
      <c r="F5" s="4">
        <v>15133.0</v>
      </c>
      <c r="G5" s="4">
        <v>18705.0</v>
      </c>
      <c r="H5" s="4">
        <v>20415.0</v>
      </c>
    </row>
    <row r="6">
      <c r="A6" s="1" t="s">
        <v>185</v>
      </c>
      <c r="B6" s="4">
        <v>37782.1</v>
      </c>
      <c r="C6" s="4">
        <v>43166.7</v>
      </c>
      <c r="D6" s="4">
        <v>35610.7</v>
      </c>
      <c r="E6" s="4">
        <v>34077.5</v>
      </c>
      <c r="F6" s="4">
        <v>42622.0</v>
      </c>
      <c r="G6" s="4">
        <v>45160.0</v>
      </c>
      <c r="H6" s="4">
        <v>47726.0</v>
      </c>
    </row>
    <row r="7">
      <c r="A7" s="1" t="s">
        <v>186</v>
      </c>
      <c r="B7" s="4">
        <v>8798.6</v>
      </c>
      <c r="C7" s="4">
        <v>9379.5</v>
      </c>
      <c r="D7" s="4">
        <v>5010.5</v>
      </c>
      <c r="E7" s="4">
        <v>4154.3</v>
      </c>
      <c r="F7" s="4">
        <v>6329.0</v>
      </c>
      <c r="G7" s="4">
        <v>7535.0</v>
      </c>
      <c r="H7" s="4">
        <v>8473.0</v>
      </c>
    </row>
    <row r="8">
      <c r="A8" s="1" t="s">
        <v>187</v>
      </c>
      <c r="B8" s="4">
        <v>3818.9</v>
      </c>
      <c r="C8" s="4">
        <v>4226.9</v>
      </c>
      <c r="D8" s="4">
        <v>1411.5</v>
      </c>
      <c r="E8" s="4">
        <v>369.1</v>
      </c>
      <c r="F8" s="4">
        <v>3102.0</v>
      </c>
      <c r="G8" s="4">
        <v>4109.0</v>
      </c>
      <c r="H8" s="4">
        <v>4856.0</v>
      </c>
    </row>
    <row r="9">
      <c r="A9" s="1" t="s">
        <v>188</v>
      </c>
      <c r="B9" s="4">
        <v>10482.2</v>
      </c>
      <c r="C9" s="4">
        <v>11307.1</v>
      </c>
      <c r="D9" s="4">
        <v>6050.3</v>
      </c>
      <c r="E9" s="4">
        <v>3992.4</v>
      </c>
      <c r="F9" s="4">
        <v>8199.0</v>
      </c>
      <c r="G9" s="4">
        <v>10287.0</v>
      </c>
      <c r="H9" s="4">
        <v>11875.0</v>
      </c>
    </row>
    <row r="10">
      <c r="A10" s="1" t="s">
        <v>189</v>
      </c>
      <c r="B10" s="4">
        <v>4467.9</v>
      </c>
      <c r="C10" s="4">
        <v>4725.9</v>
      </c>
      <c r="D10" s="4">
        <v>4172.5</v>
      </c>
      <c r="E10" s="4">
        <v>4368.1</v>
      </c>
      <c r="F10" s="4">
        <v>6299.0</v>
      </c>
      <c r="G10" s="4">
        <v>4893.0</v>
      </c>
      <c r="H10" s="4">
        <v>5162.0</v>
      </c>
    </row>
    <row r="11">
      <c r="A11" s="1" t="s">
        <v>200</v>
      </c>
      <c r="B11" s="4">
        <v>102523.9</v>
      </c>
      <c r="C11" s="4">
        <v>111121.6</v>
      </c>
      <c r="D11" s="4">
        <v>106327.7</v>
      </c>
      <c r="E11" s="4">
        <v>110964.0</v>
      </c>
      <c r="F11" s="4">
        <v>136747.0</v>
      </c>
      <c r="G11" s="4">
        <v>145804.0</v>
      </c>
      <c r="H11" s="4">
        <v>154456.0</v>
      </c>
    </row>
    <row r="12">
      <c r="A12" s="1" t="s">
        <v>191</v>
      </c>
      <c r="B12" s="4">
        <v>27778.3</v>
      </c>
      <c r="C12" s="4">
        <v>29695.0</v>
      </c>
      <c r="D12" s="4">
        <v>28915.3</v>
      </c>
      <c r="E12" s="4">
        <v>29904.8</v>
      </c>
      <c r="F12" s="4">
        <v>31696.0</v>
      </c>
      <c r="G12" s="4">
        <v>35434.0</v>
      </c>
      <c r="H12" s="4">
        <v>38958.0</v>
      </c>
    </row>
    <row r="13">
      <c r="A13" s="3" t="s">
        <v>201</v>
      </c>
      <c r="B13" s="4">
        <f t="shared" ref="B13:H13" si="1">sum(B5:B12)</f>
        <v>220385</v>
      </c>
      <c r="C13" s="4">
        <f t="shared" si="1"/>
        <v>240029.5</v>
      </c>
      <c r="D13" s="4">
        <f t="shared" si="1"/>
        <v>199667.6</v>
      </c>
      <c r="E13" s="4">
        <f t="shared" si="1"/>
        <v>197884.2</v>
      </c>
      <c r="F13" s="4">
        <f t="shared" si="1"/>
        <v>250127</v>
      </c>
      <c r="G13" s="4">
        <f t="shared" si="1"/>
        <v>271927</v>
      </c>
      <c r="H13" s="4">
        <f t="shared" si="1"/>
        <v>291921</v>
      </c>
    </row>
    <row r="16">
      <c r="A16" s="1" t="s">
        <v>202</v>
      </c>
    </row>
    <row r="17">
      <c r="A17" s="3" t="s">
        <v>2</v>
      </c>
      <c r="B17" s="3">
        <v>2018.0</v>
      </c>
      <c r="C17" s="3">
        <v>2019.0</v>
      </c>
      <c r="D17" s="3">
        <v>2020.0</v>
      </c>
      <c r="E17" s="3">
        <v>2021.0</v>
      </c>
      <c r="F17" s="3">
        <v>2022.0</v>
      </c>
      <c r="G17" s="3">
        <v>2023.0</v>
      </c>
      <c r="H17" s="3" t="s">
        <v>199</v>
      </c>
    </row>
    <row r="18">
      <c r="A18" s="1" t="s">
        <v>203</v>
      </c>
      <c r="B18" s="4">
        <v>220385.0</v>
      </c>
      <c r="C18" s="4">
        <v>240030.0</v>
      </c>
      <c r="D18" s="4">
        <v>199668.0</v>
      </c>
      <c r="E18" s="4">
        <v>197884.0</v>
      </c>
      <c r="F18" s="4">
        <v>250128.0</v>
      </c>
      <c r="G18" s="4">
        <v>271927.0</v>
      </c>
      <c r="H18" s="4">
        <v>291921.0</v>
      </c>
    </row>
    <row r="19">
      <c r="A19" s="1" t="s">
        <v>204</v>
      </c>
      <c r="B19" s="4">
        <v>94535.0</v>
      </c>
      <c r="C19" s="4">
        <v>102233.0</v>
      </c>
      <c r="D19" s="4">
        <v>28407.0</v>
      </c>
      <c r="E19" s="4">
        <v>13090.0</v>
      </c>
      <c r="F19" s="4">
        <v>47968.0</v>
      </c>
      <c r="G19" s="4">
        <v>90044.0</v>
      </c>
      <c r="H19" s="4">
        <v>114361.0</v>
      </c>
    </row>
    <row r="20">
      <c r="A20" s="1" t="s">
        <v>205</v>
      </c>
      <c r="B20" s="4">
        <v>94575.0</v>
      </c>
      <c r="C20" s="4">
        <v>102272.0</v>
      </c>
      <c r="D20" s="4">
        <v>28443.0</v>
      </c>
      <c r="E20" s="4">
        <v>13129.0</v>
      </c>
      <c r="F20" s="4">
        <v>47982.0</v>
      </c>
      <c r="G20" s="4">
        <v>97035.0</v>
      </c>
      <c r="H20" s="4">
        <v>120306.0</v>
      </c>
    </row>
    <row r="22">
      <c r="A22" s="1" t="s">
        <v>206</v>
      </c>
    </row>
    <row r="23">
      <c r="A23" s="1" t="s">
        <v>207</v>
      </c>
    </row>
  </sheetData>
  <hyperlinks>
    <hyperlink r:id="rId1" ref="A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</cols>
  <sheetData>
    <row r="1">
      <c r="A1" s="1" t="s">
        <v>208</v>
      </c>
    </row>
    <row r="2">
      <c r="A2" s="2" t="s">
        <v>209</v>
      </c>
    </row>
    <row r="3">
      <c r="A3" s="15" t="s">
        <v>210</v>
      </c>
    </row>
    <row r="5">
      <c r="A5" s="3" t="s">
        <v>198</v>
      </c>
      <c r="B5" s="3">
        <v>2016.0</v>
      </c>
      <c r="C5" s="3">
        <v>2017.0</v>
      </c>
      <c r="D5" s="3">
        <v>2018.0</v>
      </c>
      <c r="E5" s="3">
        <v>2019.0</v>
      </c>
      <c r="F5" s="3">
        <v>2020.0</v>
      </c>
      <c r="G5" s="3">
        <v>2021.0</v>
      </c>
      <c r="H5" s="3">
        <v>2022.0</v>
      </c>
      <c r="I5" s="3">
        <v>2023.0</v>
      </c>
      <c r="J5" s="3">
        <v>2024.0</v>
      </c>
    </row>
    <row r="6">
      <c r="A6" s="1" t="s">
        <v>184</v>
      </c>
      <c r="B6" s="16">
        <v>207.4</v>
      </c>
      <c r="C6" s="16">
        <v>210.5</v>
      </c>
      <c r="D6" s="16">
        <v>222.4</v>
      </c>
      <c r="E6" s="16">
        <v>233.8</v>
      </c>
      <c r="F6" s="16">
        <v>208.5</v>
      </c>
      <c r="G6" s="16">
        <v>196.3</v>
      </c>
      <c r="H6" s="16">
        <v>201.0</v>
      </c>
      <c r="I6" s="16">
        <v>225.6</v>
      </c>
      <c r="J6" s="16">
        <v>231.9</v>
      </c>
    </row>
    <row r="7">
      <c r="A7" s="1" t="s">
        <v>185</v>
      </c>
      <c r="B7" s="16">
        <v>1002.6</v>
      </c>
      <c r="C7" s="16">
        <v>1087.0</v>
      </c>
      <c r="D7" s="16">
        <v>1183.0</v>
      </c>
      <c r="E7" s="16">
        <v>1237.7</v>
      </c>
      <c r="F7" s="16">
        <v>1192.0</v>
      </c>
      <c r="G7" s="16">
        <v>1245.5</v>
      </c>
      <c r="H7" s="16">
        <v>1266.8</v>
      </c>
      <c r="I7" s="16">
        <v>1244.5</v>
      </c>
      <c r="J7" s="16">
        <v>1294.4</v>
      </c>
    </row>
    <row r="8">
      <c r="A8" s="1" t="s">
        <v>186</v>
      </c>
      <c r="B8" s="16">
        <v>164.5</v>
      </c>
      <c r="C8" s="16">
        <v>162.5</v>
      </c>
      <c r="D8" s="16">
        <v>171.3</v>
      </c>
      <c r="E8" s="16">
        <v>177.3</v>
      </c>
      <c r="F8" s="16">
        <v>165.2</v>
      </c>
      <c r="G8" s="16">
        <v>162.1</v>
      </c>
      <c r="H8" s="16">
        <v>166.2</v>
      </c>
      <c r="I8" s="16">
        <v>171.9</v>
      </c>
      <c r="J8" s="16">
        <v>175.7</v>
      </c>
    </row>
    <row r="9">
      <c r="A9" s="1" t="s">
        <v>187</v>
      </c>
      <c r="B9" s="16">
        <v>35.8</v>
      </c>
      <c r="C9" s="16">
        <v>40.1</v>
      </c>
      <c r="D9" s="16">
        <v>38.7</v>
      </c>
      <c r="E9" s="16">
        <v>40.7</v>
      </c>
      <c r="F9" s="16">
        <v>34.1</v>
      </c>
      <c r="G9" s="16">
        <v>26.3</v>
      </c>
      <c r="H9" s="16">
        <v>28.1</v>
      </c>
      <c r="I9" s="16">
        <v>27.7</v>
      </c>
      <c r="J9" s="16">
        <v>29.4</v>
      </c>
    </row>
    <row r="10">
      <c r="A10" s="1" t="s">
        <v>188</v>
      </c>
      <c r="B10" s="16">
        <v>74.8</v>
      </c>
      <c r="C10" s="16">
        <v>78.9</v>
      </c>
      <c r="D10" s="16">
        <v>80.9</v>
      </c>
      <c r="E10" s="16">
        <v>81.2</v>
      </c>
      <c r="F10" s="16">
        <v>66.5</v>
      </c>
      <c r="G10" s="16">
        <v>52.3</v>
      </c>
      <c r="H10" s="16">
        <v>53.5</v>
      </c>
      <c r="I10" s="16">
        <v>54.6</v>
      </c>
      <c r="J10" s="16">
        <v>58.4</v>
      </c>
    </row>
    <row r="11">
      <c r="A11" s="1" t="s">
        <v>189</v>
      </c>
      <c r="B11" s="16">
        <v>33.4</v>
      </c>
      <c r="C11" s="16">
        <v>34.4</v>
      </c>
      <c r="D11" s="16">
        <v>34.6</v>
      </c>
      <c r="E11" s="16">
        <v>34.7</v>
      </c>
      <c r="F11" s="16">
        <v>34.3</v>
      </c>
      <c r="G11" s="16">
        <v>34.4</v>
      </c>
      <c r="H11" s="16">
        <v>35.2</v>
      </c>
      <c r="I11" s="16">
        <v>30.4</v>
      </c>
      <c r="J11" s="16">
        <v>31.4</v>
      </c>
    </row>
    <row r="12">
      <c r="A12" s="1" t="s">
        <v>200</v>
      </c>
      <c r="B12" s="16">
        <v>1106.0</v>
      </c>
      <c r="C12" s="16">
        <v>1104.5</v>
      </c>
      <c r="D12" s="16">
        <v>1147.9</v>
      </c>
      <c r="E12" s="16">
        <v>1158.1</v>
      </c>
      <c r="F12" s="16">
        <v>1156.2</v>
      </c>
      <c r="G12" s="16">
        <v>1181.9</v>
      </c>
      <c r="H12" s="16">
        <v>1211.6</v>
      </c>
      <c r="I12" s="16">
        <v>1254.9</v>
      </c>
      <c r="J12" s="16">
        <v>1339.5</v>
      </c>
    </row>
    <row r="13">
      <c r="A13" s="1" t="s">
        <v>191</v>
      </c>
      <c r="B13" s="16">
        <v>557.2</v>
      </c>
      <c r="C13" s="16">
        <v>590.7</v>
      </c>
      <c r="D13" s="16">
        <v>592.3</v>
      </c>
      <c r="E13" s="16">
        <v>598.5</v>
      </c>
      <c r="F13" s="16">
        <v>601.3</v>
      </c>
      <c r="G13" s="16">
        <v>621.3</v>
      </c>
      <c r="H13" s="16">
        <v>645.6</v>
      </c>
      <c r="I13" s="16">
        <v>372.6</v>
      </c>
      <c r="J13" s="16">
        <v>377.1</v>
      </c>
    </row>
    <row r="14">
      <c r="A14" s="1" t="s">
        <v>82</v>
      </c>
      <c r="B14" s="17">
        <f>SUM(B6:B13)</f>
        <v>3181.7</v>
      </c>
      <c r="C14" s="17">
        <v>3308.6</v>
      </c>
      <c r="D14" s="17">
        <v>3471.1</v>
      </c>
      <c r="E14" s="17">
        <v>3561.8</v>
      </c>
      <c r="F14" s="17">
        <v>3457.5</v>
      </c>
      <c r="G14" s="17">
        <v>3520.2</v>
      </c>
      <c r="H14" s="17">
        <v>3608.0</v>
      </c>
      <c r="I14" s="17">
        <v>3382.2</v>
      </c>
      <c r="J14" s="17">
        <v>3537.8</v>
      </c>
    </row>
    <row r="16">
      <c r="A16" s="1" t="s">
        <v>211</v>
      </c>
    </row>
  </sheetData>
  <hyperlinks>
    <hyperlink r:id="rId1" ref="A2"/>
  </hyperlinks>
  <drawing r:id="rId2"/>
</worksheet>
</file>